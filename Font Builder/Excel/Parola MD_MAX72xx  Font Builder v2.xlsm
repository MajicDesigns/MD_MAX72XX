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bookViews>
    <workbookView xWindow="0" yWindow="0" windowWidth="19260" windowHeight="10770" tabRatio="763"/>
  </bookViews>
  <sheets>
    <sheet name="Instructions" sheetId="5" r:id="rId1"/>
    <sheet name="Work Sheet" sheetId="1" r:id="rId2"/>
    <sheet name="MD_MAX Default" sheetId="8" r:id="rId3"/>
    <sheet name="Std Proportional" sheetId="2" r:id="rId4"/>
    <sheet name="Std Fixed" sheetId="10" r:id="rId5"/>
    <sheet name="ExtAscii Proportional" sheetId="16" r:id="rId6"/>
    <sheet name="Std Proportional Double" sheetId="14" r:id="rId7"/>
    <sheet name="7 Segment Fixed Single" sheetId="13" r:id="rId8"/>
    <sheet name="7 Segment Fixed Double" sheetId="15" r:id="rId9"/>
    <sheet name="Misc Symbols" sheetId="3" r:id="rId10"/>
    <sheet name="Arabic" sheetId="4" r:id="rId11"/>
    <sheet name="5x7 LCD font" sheetId="6" r:id="rId12"/>
    <sheet name="Katakana" sheetId="7" r:id="rId13"/>
    <sheet name="Greek" sheetId="11" r:id="rId14"/>
    <sheet name="Modern Arabic Std" sheetId="12" r:id="rId15"/>
    <sheet name="Russian Proportional Single" sheetId="17" r:id="rId16"/>
    <sheet name="Russian Proportional Double" sheetId="18" r:id="rId17"/>
  </sheets>
  <calcPr calcId="17102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Q162" i="1"/>
  <c r="Q158" i="1"/>
  <c r="R158" i="1" s="1"/>
  <c r="Q154" i="1"/>
  <c r="R154" i="1" s="1"/>
  <c r="Q150" i="1"/>
  <c r="Q146" i="1"/>
  <c r="Q142" i="1"/>
  <c r="R142" i="1" s="1"/>
  <c r="Q138" i="1"/>
  <c r="R138" i="1" s="1"/>
  <c r="Q134" i="1"/>
  <c r="Q129" i="1"/>
  <c r="Q125" i="1"/>
  <c r="Q121" i="1"/>
  <c r="R121" i="1" s="1"/>
  <c r="Q117" i="1"/>
  <c r="R117" i="1" s="1"/>
  <c r="Q113" i="1"/>
  <c r="R113" i="1" s="1"/>
  <c r="Q109" i="1"/>
  <c r="R109" i="1" s="1"/>
  <c r="Q105" i="1"/>
  <c r="R105" i="1" s="1"/>
  <c r="Q101" i="1"/>
  <c r="R101" i="1" s="1"/>
  <c r="Q97" i="1"/>
  <c r="R97" i="1" s="1"/>
  <c r="Q93" i="1"/>
  <c r="R93" i="1" s="1"/>
  <c r="Q89" i="1"/>
  <c r="R89" i="1" s="1"/>
  <c r="Q85" i="1"/>
  <c r="Q81" i="1"/>
  <c r="R81" i="1" s="1"/>
  <c r="Q77" i="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R85" i="1"/>
  <c r="Q213" i="1"/>
  <c r="R213" i="1" s="1"/>
  <c r="Q209" i="1"/>
  <c r="R209" i="1" s="1"/>
  <c r="R77" i="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R5" i="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R132" i="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R131" i="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R162" i="1"/>
  <c r="Q34" i="1"/>
  <c r="Q30" i="1"/>
  <c r="R30" i="1" s="1"/>
  <c r="Q26" i="1"/>
  <c r="R26" i="1" s="1"/>
  <c r="R150" i="1"/>
  <c r="Q22" i="1"/>
  <c r="R146" i="1"/>
  <c r="Q18" i="1"/>
  <c r="R18" i="1" s="1"/>
  <c r="Q14" i="1"/>
  <c r="R14" i="1" s="1"/>
  <c r="Q10" i="1"/>
  <c r="R134"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AE207" i="1" s="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AE14" i="1" s="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AE242" i="1" s="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AE152" i="1" s="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AE248" i="1" s="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AE46" i="1" s="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208" i="1" l="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<sst xmlns="http://schemas.openxmlformats.org/spreadsheetml/2006/main" count="2910" uniqueCount="1041">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</sst>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99"/>
  <sheetViews>
    <sheetView tabSelected="1" workbookViewId="0"/>
  </sheetViews>
  <sheetFormatPr defaultRowHeight="15" x14ac:dyDescent="0.25"/>
  <cols>
    <col min="1" max="1" width="103.7109375" style="53" customWidth="1"/>
  </cols>
  <sheetData>
    <row r="1" spans="1:1" s="58" customFormat="1" ht="21" x14ac:dyDescent="0.35">
      <c r="A1" s="57" t="s">
        <v>750</v>
      </c>
    </row>
    <row r="2" spans="1:1" s="56" customFormat="1" x14ac:dyDescent="0.25">
      <c r="A2" s="55"/>
    </row>
    <row r="3" spans="1:1" ht="18.75" x14ac:dyDescent="0.3">
      <c r="A3" s="52" t="s">
        <v>274</v>
      </c>
    </row>
    <row r="4" spans="1:1" ht="45" x14ac:dyDescent="0.25">
      <c r="A4" s="53" t="s">
        <v>751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744</v>
      </c>
    </row>
    <row r="21" spans="1:1" ht="45" x14ac:dyDescent="0.25">
      <c r="A21" s="53" t="s">
        <v>743</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745</v>
      </c>
    </row>
    <row r="29" spans="1:1" ht="18.75" x14ac:dyDescent="0.3">
      <c r="A29" s="52" t="s">
        <v>278</v>
      </c>
    </row>
    <row r="30" spans="1:1" ht="45" x14ac:dyDescent="0.25">
      <c r="A30" s="53" t="s">
        <v>746</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747</v>
      </c>
    </row>
    <row r="66" spans="1:1" ht="60" x14ac:dyDescent="0.25">
      <c r="A66" s="53" t="s">
        <v>748</v>
      </c>
    </row>
    <row r="67" spans="1:1" x14ac:dyDescent="0.25">
      <c r="A67" s="53" t="s">
        <v>334</v>
      </c>
    </row>
    <row r="69" spans="1:1" ht="18.75" x14ac:dyDescent="0.3">
      <c r="A69" s="52" t="s">
        <v>284</v>
      </c>
    </row>
    <row r="70" spans="1:1" ht="45" x14ac:dyDescent="0.25">
      <c r="A70" s="53" t="s">
        <v>749</v>
      </c>
    </row>
    <row r="98" spans="1:1" x14ac:dyDescent="0.25">
      <c r="A98" s="53" t="s">
        <v>285</v>
      </c>
    </row>
    <row r="99" spans="1:1" ht="30" x14ac:dyDescent="0.25">
      <c r="A99" s="53"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F261"/>
  <sheetViews>
    <sheetView zoomScaleNormal="100" workbookViewId="0">
      <pane ySplit="3" topLeftCell="A4" activePane="bottomLeft" state="frozen"/>
      <selection pane="bottomLeft" activeCell="C4" sqref="C4:N259"/>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0</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'Sad Smiley'</v>
      </c>
      <c r="AD5" s="4"/>
      <c r="AE5" s="31" t="str">
        <f>MAX(P5,Q5)&amp;S5&amp;T5&amp;U5&amp;V5&amp;W5&amp;X5&amp;Y5&amp;Z5&amp;AA5&amp;AB5&amp;AC5</f>
        <v>5, 62, 91, 79, 91, 62,		// 1 - 'Sad Smiley'</v>
      </c>
      <c r="AF5" s="4"/>
    </row>
    <row r="6" spans="1:32"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x14ac:dyDescent="0.25">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4">
        <f t="shared" si="2"/>
        <v>0</v>
      </c>
      <c r="R12" s="4">
        <f t="shared" si="3"/>
        <v>5</v>
      </c>
      <c r="S12" s="8" t="str">
        <f t="shared" si="4"/>
        <v>, 255</v>
      </c>
      <c r="T12" s="8" t="str">
        <f t="shared" si="5"/>
        <v>, 231</v>
      </c>
      <c r="U12" s="8" t="str">
        <f t="shared" si="6"/>
        <v>, 195</v>
      </c>
      <c r="V12" s="8" t="str">
        <f t="shared" si="7"/>
        <v>, 231</v>
      </c>
      <c r="W12" s="8" t="str">
        <f t="shared" si="8"/>
        <v>, 255</v>
      </c>
      <c r="X12" s="8" t="str">
        <f t="shared" si="9"/>
        <v/>
      </c>
      <c r="Y12" s="8" t="str">
        <f t="shared" si="10"/>
        <v/>
      </c>
      <c r="Z12" s="8" t="str">
        <f t="shared" si="11"/>
        <v/>
      </c>
      <c r="AA12" s="8" t="str">
        <f t="shared" si="12"/>
        <v/>
      </c>
      <c r="AB12" s="8" t="str">
        <f t="shared" si="13"/>
        <v/>
      </c>
      <c r="AC12" s="5" t="str">
        <f t="shared" si="14"/>
        <v>,		// 8 - 'Rev Bullet Point'</v>
      </c>
      <c r="AD12" s="4"/>
      <c r="AE12" s="31" t="str">
        <f t="shared" si="15"/>
        <v>5, 255, 231, 195, 231, 255,		// 8 - 'Rev Bullet Point'</v>
      </c>
      <c r="AF12" s="4"/>
    </row>
    <row r="13" spans="1:32" x14ac:dyDescent="0.25">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4">
        <f t="shared" si="2"/>
        <v>0</v>
      </c>
      <c r="R13" s="4">
        <f t="shared" si="3"/>
        <v>4</v>
      </c>
      <c r="S13" s="8" t="str">
        <f t="shared" si="4"/>
        <v>, 0</v>
      </c>
      <c r="T13" s="8" t="str">
        <f t="shared" si="5"/>
        <v>, 24</v>
      </c>
      <c r="U13" s="8" t="str">
        <f t="shared" si="6"/>
        <v>, 36</v>
      </c>
      <c r="V13" s="8" t="str">
        <f t="shared" si="7"/>
        <v>, 24</v>
      </c>
      <c r="W13" s="8" t="str">
        <f t="shared" si="8"/>
        <v/>
      </c>
      <c r="X13" s="8" t="str">
        <f t="shared" si="9"/>
        <v/>
      </c>
      <c r="Y13" s="8" t="str">
        <f t="shared" si="10"/>
        <v/>
      </c>
      <c r="Z13" s="8" t="str">
        <f t="shared" si="11"/>
        <v/>
      </c>
      <c r="AA13" s="8" t="str">
        <f t="shared" si="12"/>
        <v/>
      </c>
      <c r="AB13" s="8" t="str">
        <f t="shared" si="13"/>
        <v/>
      </c>
      <c r="AC13" s="5" t="str">
        <f t="shared" si="14"/>
        <v>,		// 9 - 'Hollow Bullet Point'</v>
      </c>
      <c r="AD13" s="4"/>
      <c r="AE13" s="31" t="str">
        <f t="shared" si="15"/>
        <v>4, 0, 24, 36, 24,		// 9 - 'Hollow Bullet Point'</v>
      </c>
      <c r="AF13" s="4"/>
    </row>
    <row r="14" spans="1:32" x14ac:dyDescent="0.25">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4">
        <f t="shared" si="2"/>
        <v>0</v>
      </c>
      <c r="R14" s="4">
        <f t="shared" si="3"/>
        <v>5</v>
      </c>
      <c r="S14" s="8" t="str">
        <f t="shared" si="4"/>
        <v>, 255</v>
      </c>
      <c r="T14" s="8" t="str">
        <f t="shared" si="5"/>
        <v>, 231</v>
      </c>
      <c r="U14" s="8" t="str">
        <f t="shared" si="6"/>
        <v>, 219</v>
      </c>
      <c r="V14" s="8" t="str">
        <f t="shared" si="7"/>
        <v>, 231</v>
      </c>
      <c r="W14" s="8" t="str">
        <f t="shared" si="8"/>
        <v>, 255</v>
      </c>
      <c r="X14" s="8" t="str">
        <f t="shared" si="9"/>
        <v/>
      </c>
      <c r="Y14" s="8" t="str">
        <f t="shared" si="10"/>
        <v/>
      </c>
      <c r="Z14" s="8" t="str">
        <f t="shared" si="11"/>
        <v/>
      </c>
      <c r="AA14" s="8" t="str">
        <f t="shared" si="12"/>
        <v/>
      </c>
      <c r="AB14" s="8" t="str">
        <f t="shared" si="13"/>
        <v/>
      </c>
      <c r="AC14" s="5" t="str">
        <f t="shared" si="14"/>
        <v>,		// 10 - 'Rev Hollow BP'</v>
      </c>
      <c r="AD14" s="4"/>
      <c r="AE14" s="31" t="str">
        <f t="shared" si="15"/>
        <v>5, 255, 231, 219, 231, 255,		// 10 - 'Rev Hollow BP'</v>
      </c>
      <c r="AF14" s="4"/>
    </row>
    <row r="15" spans="1:32"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x14ac:dyDescent="0.25">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4">
        <f t="shared" si="2"/>
        <v>0</v>
      </c>
      <c r="R23" s="4">
        <f t="shared" si="3"/>
        <v>5</v>
      </c>
      <c r="S23" s="8" t="str">
        <f t="shared" si="4"/>
        <v>, 95</v>
      </c>
      <c r="T23" s="8" t="str">
        <f t="shared" si="5"/>
        <v>, 95</v>
      </c>
      <c r="U23" s="8" t="str">
        <f t="shared" si="6"/>
        <v>, 0</v>
      </c>
      <c r="V23" s="8" t="str">
        <f t="shared" si="7"/>
        <v>, 95</v>
      </c>
      <c r="W23" s="8" t="str">
        <f t="shared" si="8"/>
        <v>, 95</v>
      </c>
      <c r="X23" s="8" t="str">
        <f t="shared" si="9"/>
        <v/>
      </c>
      <c r="Y23" s="8" t="str">
        <f t="shared" si="10"/>
        <v/>
      </c>
      <c r="Z23" s="8" t="str">
        <f t="shared" si="11"/>
        <v/>
      </c>
      <c r="AA23" s="8" t="str">
        <f t="shared" si="12"/>
        <v/>
      </c>
      <c r="AB23" s="8" t="str">
        <f t="shared" si="13"/>
        <v/>
      </c>
      <c r="AC23" s="5" t="str">
        <f t="shared" si="14"/>
        <v>,		// 19 - 'Double Exclamation'</v>
      </c>
      <c r="AD23" s="4"/>
      <c r="AE23" s="31" t="str">
        <f t="shared" si="15"/>
        <v>5, 95, 95, 0, 95, 95,		// 19 - 'Double Exclamation'</v>
      </c>
      <c r="AF23" s="4"/>
    </row>
    <row r="24" spans="1:32" x14ac:dyDescent="0.25">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4">
        <f t="shared" si="2"/>
        <v>0</v>
      </c>
      <c r="R24" s="4">
        <f t="shared" si="3"/>
        <v>5</v>
      </c>
      <c r="S24" s="8" t="str">
        <f t="shared" si="4"/>
        <v>, 6</v>
      </c>
      <c r="T24" s="8" t="str">
        <f t="shared" si="5"/>
        <v>, 9</v>
      </c>
      <c r="U24" s="8" t="str">
        <f t="shared" si="6"/>
        <v>, 127</v>
      </c>
      <c r="V24" s="8" t="str">
        <f t="shared" si="7"/>
        <v>, 1</v>
      </c>
      <c r="W24" s="8" t="str">
        <f t="shared" si="8"/>
        <v>, 127</v>
      </c>
      <c r="X24" s="8" t="str">
        <f t="shared" si="9"/>
        <v/>
      </c>
      <c r="Y24" s="8" t="str">
        <f t="shared" si="10"/>
        <v/>
      </c>
      <c r="Z24" s="8" t="str">
        <f t="shared" si="11"/>
        <v/>
      </c>
      <c r="AA24" s="8" t="str">
        <f t="shared" si="12"/>
        <v/>
      </c>
      <c r="AB24" s="8" t="str">
        <f t="shared" si="13"/>
        <v/>
      </c>
      <c r="AC24" s="5" t="str">
        <f t="shared" si="14"/>
        <v>,		// 20 - 'Paragraph Mark'</v>
      </c>
      <c r="AD24" s="4"/>
      <c r="AE24" s="31" t="str">
        <f t="shared" si="15"/>
        <v>5, 6, 9, 127, 1, 127,		// 20 - 'Paragraph Mark'</v>
      </c>
      <c r="AF24" s="4"/>
    </row>
    <row r="25" spans="1:32" x14ac:dyDescent="0.25">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4">
        <f t="shared" si="2"/>
        <v>0</v>
      </c>
      <c r="R25" s="4">
        <f t="shared" si="3"/>
        <v>4</v>
      </c>
      <c r="S25" s="8" t="str">
        <f t="shared" si="4"/>
        <v>, 102</v>
      </c>
      <c r="T25" s="8" t="str">
        <f t="shared" si="5"/>
        <v>, 137</v>
      </c>
      <c r="U25" s="8" t="str">
        <f t="shared" si="6"/>
        <v>, 149</v>
      </c>
      <c r="V25" s="8" t="str">
        <f t="shared" si="7"/>
        <v>, 106</v>
      </c>
      <c r="W25" s="8" t="str">
        <f t="shared" si="8"/>
        <v/>
      </c>
      <c r="X25" s="8" t="str">
        <f t="shared" si="9"/>
        <v/>
      </c>
      <c r="Y25" s="8" t="str">
        <f t="shared" si="10"/>
        <v/>
      </c>
      <c r="Z25" s="8" t="str">
        <f t="shared" si="11"/>
        <v/>
      </c>
      <c r="AA25" s="8" t="str">
        <f t="shared" si="12"/>
        <v/>
      </c>
      <c r="AB25" s="8" t="str">
        <f t="shared" si="13"/>
        <v/>
      </c>
      <c r="AC25" s="5" t="str">
        <f t="shared" si="14"/>
        <v>,		// 21 - 'Section Mark'</v>
      </c>
      <c r="AD25" s="4"/>
      <c r="AE25" s="31" t="str">
        <f t="shared" si="15"/>
        <v>4, 102, 137, 149, 106,		// 21 - 'Section Mark'</v>
      </c>
      <c r="AF25" s="4"/>
    </row>
    <row r="26" spans="1:32" x14ac:dyDescent="0.25">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4">
        <f t="shared" si="2"/>
        <v>0</v>
      </c>
      <c r="R26" s="4">
        <f t="shared" si="3"/>
        <v>5</v>
      </c>
      <c r="S26" s="8" t="str">
        <f t="shared" si="4"/>
        <v>, 96</v>
      </c>
      <c r="T26" s="8" t="str">
        <f t="shared" si="5"/>
        <v>, 96</v>
      </c>
      <c r="U26" s="8" t="str">
        <f t="shared" si="6"/>
        <v>, 96</v>
      </c>
      <c r="V26" s="8" t="str">
        <f t="shared" si="7"/>
        <v>, 96</v>
      </c>
      <c r="W26" s="8" t="str">
        <f t="shared" si="8"/>
        <v>, 96</v>
      </c>
      <c r="X26" s="8" t="str">
        <f t="shared" si="9"/>
        <v/>
      </c>
      <c r="Y26" s="8" t="str">
        <f t="shared" si="10"/>
        <v/>
      </c>
      <c r="Z26" s="8" t="str">
        <f t="shared" si="11"/>
        <v/>
      </c>
      <c r="AA26" s="8" t="str">
        <f t="shared" si="12"/>
        <v/>
      </c>
      <c r="AB26" s="8" t="str">
        <f t="shared" si="13"/>
        <v/>
      </c>
      <c r="AC26" s="5" t="str">
        <f t="shared" si="14"/>
        <v>,		// 22 - 'Double Underline'</v>
      </c>
      <c r="AD26" s="4"/>
      <c r="AE26" s="31" t="str">
        <f t="shared" si="15"/>
        <v>5, 96, 96, 96, 96, 96,		// 22 - 'Double Underline'</v>
      </c>
      <c r="AF26" s="4"/>
    </row>
    <row r="27" spans="1:32" x14ac:dyDescent="0.25">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4">
        <f t="shared" si="2"/>
        <v>0</v>
      </c>
      <c r="R27" s="4">
        <f t="shared" si="3"/>
        <v>5</v>
      </c>
      <c r="S27" s="8" t="str">
        <f t="shared" si="4"/>
        <v>, 148</v>
      </c>
      <c r="T27" s="8" t="str">
        <f t="shared" si="5"/>
        <v>, 162</v>
      </c>
      <c r="U27" s="8" t="str">
        <f t="shared" si="6"/>
        <v>, 255</v>
      </c>
      <c r="V27" s="8" t="str">
        <f t="shared" si="7"/>
        <v>, 162</v>
      </c>
      <c r="W27" s="8" t="str">
        <f t="shared" si="8"/>
        <v>, 148</v>
      </c>
      <c r="X27" s="8" t="str">
        <f t="shared" si="9"/>
        <v/>
      </c>
      <c r="Y27" s="8" t="str">
        <f t="shared" si="10"/>
        <v/>
      </c>
      <c r="Z27" s="8" t="str">
        <f t="shared" si="11"/>
        <v/>
      </c>
      <c r="AA27" s="8" t="str">
        <f t="shared" si="12"/>
        <v/>
      </c>
      <c r="AB27" s="8" t="str">
        <f t="shared" si="13"/>
        <v/>
      </c>
      <c r="AC27" s="5" t="str">
        <f t="shared" si="14"/>
        <v>,		// 23 - 'UpDown Underlined'</v>
      </c>
      <c r="AD27" s="4"/>
      <c r="AE27" s="31" t="str">
        <f t="shared" si="15"/>
        <v>5, 148, 162, 255, 162, 148,		// 23 - 'UpDown Underlined'</v>
      </c>
      <c r="AF27" s="4"/>
    </row>
    <row r="28" spans="1:32"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x14ac:dyDescent="0.25">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4">
        <f t="shared" si="2"/>
        <v>0</v>
      </c>
      <c r="R32" s="4">
        <f t="shared" si="3"/>
        <v>5</v>
      </c>
      <c r="S32" s="8" t="str">
        <f t="shared" si="4"/>
        <v>, 30</v>
      </c>
      <c r="T32" s="8" t="str">
        <f t="shared" si="5"/>
        <v>, 16</v>
      </c>
      <c r="U32" s="8" t="str">
        <f t="shared" si="6"/>
        <v>, 16</v>
      </c>
      <c r="V32" s="8" t="str">
        <f t="shared" si="7"/>
        <v>, 16</v>
      </c>
      <c r="W32" s="8" t="str">
        <f t="shared" si="8"/>
        <v>, 16</v>
      </c>
      <c r="X32" s="8" t="str">
        <f t="shared" si="9"/>
        <v/>
      </c>
      <c r="Y32" s="8" t="str">
        <f t="shared" si="10"/>
        <v/>
      </c>
      <c r="Z32" s="8" t="str">
        <f t="shared" si="11"/>
        <v/>
      </c>
      <c r="AA32" s="8" t="str">
        <f t="shared" si="12"/>
        <v/>
      </c>
      <c r="AB32" s="8" t="str">
        <f t="shared" si="13"/>
        <v/>
      </c>
      <c r="AC32" s="5" t="str">
        <f t="shared" si="14"/>
        <v>,		// 28 - 'Angled'</v>
      </c>
      <c r="AD32" s="4"/>
      <c r="AE32" s="31" t="str">
        <f t="shared" si="15"/>
        <v>5, 30, 16, 16, 16, 16,		// 28 - 'Angled'</v>
      </c>
      <c r="AF32" s="4"/>
    </row>
    <row r="33" spans="1:32" x14ac:dyDescent="0.25">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4">
        <f t="shared" si="2"/>
        <v>0</v>
      </c>
      <c r="R33" s="4">
        <f t="shared" si="3"/>
        <v>5</v>
      </c>
      <c r="S33" s="8" t="str">
        <f t="shared" si="4"/>
        <v>, 12</v>
      </c>
      <c r="T33" s="8" t="str">
        <f t="shared" si="5"/>
        <v>, 30</v>
      </c>
      <c r="U33" s="8" t="str">
        <f t="shared" si="6"/>
        <v>, 12</v>
      </c>
      <c r="V33" s="8" t="str">
        <f t="shared" si="7"/>
        <v>, 30</v>
      </c>
      <c r="W33" s="8" t="str">
        <f t="shared" si="8"/>
        <v>, 12</v>
      </c>
      <c r="X33" s="8" t="str">
        <f t="shared" si="9"/>
        <v/>
      </c>
      <c r="Y33" s="8" t="str">
        <f t="shared" si="10"/>
        <v/>
      </c>
      <c r="Z33" s="8" t="str">
        <f t="shared" si="11"/>
        <v/>
      </c>
      <c r="AA33" s="8" t="str">
        <f t="shared" si="12"/>
        <v/>
      </c>
      <c r="AB33" s="8" t="str">
        <f t="shared" si="13"/>
        <v/>
      </c>
      <c r="AC33" s="5" t="str">
        <f t="shared" si="14"/>
        <v>,		// 29 - 'Squashed #'</v>
      </c>
      <c r="AD33" s="4"/>
      <c r="AE33" s="31" t="str">
        <f t="shared" si="15"/>
        <v>5, 12, 30, 12, 30, 12,		// 29 - 'Squashed #'</v>
      </c>
      <c r="AF33" s="4"/>
    </row>
    <row r="34" spans="1:32"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x14ac:dyDescent="0.25">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86</v>
      </c>
      <c r="V42" s="8" t="str">
        <f t="shared" si="7"/>
        <v>, 32</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86, 32, 80,		// 38 - '&amp;'</v>
      </c>
      <c r="AF42" s="4"/>
    </row>
    <row r="43" spans="1:32"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0</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0</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0</v>
      </c>
      <c r="R53" s="4">
        <f t="shared" si="3"/>
        <v>3</v>
      </c>
      <c r="S53" s="8" t="str">
        <f t="shared" si="4"/>
        <v>, 66</v>
      </c>
      <c r="T53" s="8" t="str">
        <f t="shared" si="5"/>
        <v>, 127</v>
      </c>
      <c r="U53" s="8" t="str">
        <f t="shared" si="6"/>
        <v>, 64</v>
      </c>
      <c r="V53" s="8" t="str">
        <f t="shared" si="7"/>
        <v/>
      </c>
      <c r="W53" s="8" t="str">
        <f t="shared" si="8"/>
        <v/>
      </c>
      <c r="X53" s="8" t="str">
        <f t="shared" si="9"/>
        <v/>
      </c>
      <c r="Y53" s="8" t="str">
        <f t="shared" si="10"/>
        <v/>
      </c>
      <c r="Z53" s="8" t="str">
        <f t="shared" si="11"/>
        <v/>
      </c>
      <c r="AA53" s="8" t="str">
        <f t="shared" si="12"/>
        <v/>
      </c>
      <c r="AB53" s="8" t="str">
        <f t="shared" si="13"/>
        <v/>
      </c>
      <c r="AC53" s="5" t="str">
        <f t="shared" si="14"/>
        <v>,		// 49 - '1'</v>
      </c>
      <c r="AD53" s="4"/>
      <c r="AE53" s="31" t="str">
        <f t="shared" si="15"/>
        <v>3, 66, 127, 64,		// 49 - '1'</v>
      </c>
      <c r="AF53" s="4"/>
    </row>
    <row r="54" spans="1:32"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0</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0</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0</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0</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0</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0</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0</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0</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0</v>
      </c>
      <c r="R62" s="4">
        <f t="shared" si="3"/>
        <v>1</v>
      </c>
      <c r="S62" s="8" t="str">
        <f t="shared" si="4"/>
        <v>, 20</v>
      </c>
      <c r="T62" s="8" t="str">
        <f t="shared" si="5"/>
        <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1, 20,		// 58 - ':'</v>
      </c>
      <c r="AF62" s="4"/>
    </row>
    <row r="63" spans="1:32"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1" si="16">IF(D69&lt;&gt;0,D69,IF(N69&lt;&gt;0,10,IF(M69&lt;&gt;0,9,IF(L69&lt;&gt;0,8,IF(K69&lt;&gt;0,7,IF(J69&lt;&gt;0,6,IF(I69&lt;&gt;0,5,IF(H69&lt;&gt;0,4,IF(G69&lt;&gt;0,3,IF(F69&lt;&gt;0,2,IF(E69&lt;&gt;0,1,0)))))))))))</f>
        <v>5</v>
      </c>
      <c r="Q69" s="4">
        <f t="shared" ref="Q69:Q131" si="17">IF($Q$2,P197,0)</f>
        <v>0</v>
      </c>
      <c r="R69" s="4">
        <f t="shared" ref="R69:R132" si="18">MAX(P69:Q69)</f>
        <v>5</v>
      </c>
      <c r="S69" s="8" t="str">
        <f t="shared" ref="S69:S131" si="19">IF($R69&gt;=S$3,", "&amp;E69,"")</f>
        <v>, 124</v>
      </c>
      <c r="T69" s="8" t="str">
        <f t="shared" ref="T69:T131" si="20">IF($R69&gt;=T$3,", "&amp;F69,"")</f>
        <v>, 18</v>
      </c>
      <c r="U69" s="8" t="str">
        <f t="shared" ref="U69:U131" si="21">IF($R69&gt;=U$3,", "&amp;G69,"")</f>
        <v>, 17</v>
      </c>
      <c r="V69" s="8" t="str">
        <f t="shared" ref="V69:V131" si="22">IF($R69&gt;=V$3,", "&amp;H69,"")</f>
        <v>, 18</v>
      </c>
      <c r="W69" s="8" t="str">
        <f t="shared" ref="W69:W131" si="23">IF($R69&gt;=W$3,", "&amp;I69,"")</f>
        <v>, 124</v>
      </c>
      <c r="X69" s="8" t="str">
        <f t="shared" ref="X69:X131" si="24">IF($R69&gt;=X$3,", "&amp;J69,"")</f>
        <v/>
      </c>
      <c r="Y69" s="8" t="str">
        <f t="shared" ref="Y69:Y131" si="25">IF($R69&gt;=Y$3,", "&amp;K69,"")</f>
        <v/>
      </c>
      <c r="Z69" s="8" t="str">
        <f t="shared" ref="Z69:Z131" si="26">IF($R69&gt;=Z$3,", "&amp;L69,"")</f>
        <v/>
      </c>
      <c r="AA69" s="8" t="str">
        <f t="shared" ref="AA69:AA131" si="27">IF($R69&gt;=AA$3,", "&amp;M69,"")</f>
        <v/>
      </c>
      <c r="AB69" s="8" t="str">
        <f t="shared" ref="AB69:AB131" si="28">IF($R69&gt;=AB$3,", "&amp;N69,"")</f>
        <v/>
      </c>
      <c r="AC69" s="5" t="str">
        <f t="shared" ref="AC69:AC131" si="29">","&amp;  CHAR(9) &amp; CHAR(9) &amp;"// " &amp; A69 &amp; IF(LEN(C69)&lt;&gt;0," - " &amp;  CHAR(39) &amp; C69 &amp; CHAR(39),"")</f>
        <v>,		// 65 - 'A'</v>
      </c>
      <c r="AD69" s="4"/>
      <c r="AE69" s="31" t="str">
        <f t="shared" si="15"/>
        <v>5, 124, 18, 17, 18, 124,		// 65 - 'A'</v>
      </c>
      <c r="AF69" s="4"/>
    </row>
    <row r="70" spans="1:32"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IF(D132&lt;&gt;0,D132,IF(N132&lt;&gt;0,10,IF(M132&lt;&gt;0,9,IF(L132&lt;&gt;0,8,IF(K132&lt;&gt;0,7,IF(J132&lt;&gt;0,6,IF(I132&lt;&gt;0,5,IF(H132&lt;&gt;0,4,IF(G132&lt;&gt;0,3,IF(F132&lt;&gt;0,2,IF(E132&lt;&gt;0,1,0)))))))))))</f>
        <v>5</v>
      </c>
      <c r="Q132" s="4">
        <f>IF($Q$2,P4,0)</f>
        <v>0</v>
      </c>
      <c r="R132" s="4">
        <f t="shared" si="18"/>
        <v>5</v>
      </c>
      <c r="S132" s="8" t="str">
        <f t="shared" ref="S132:AB132" si="31">IF($R132&gt;=S$3,", "&amp;E132,"")</f>
        <v>, 30</v>
      </c>
      <c r="T132" s="8" t="str">
        <f t="shared" si="31"/>
        <v>, 161</v>
      </c>
      <c r="U132" s="8" t="str">
        <f t="shared" si="31"/>
        <v>, 161</v>
      </c>
      <c r="V132" s="8" t="str">
        <f t="shared" si="31"/>
        <v>, 97</v>
      </c>
      <c r="W132" s="8" t="str">
        <f t="shared" si="31"/>
        <v>, 18</v>
      </c>
      <c r="X132" s="8" t="str">
        <f t="shared" si="31"/>
        <v/>
      </c>
      <c r="Y132" s="8" t="str">
        <f t="shared" si="31"/>
        <v/>
      </c>
      <c r="Z132" s="8" t="str">
        <f t="shared" si="31"/>
        <v/>
      </c>
      <c r="AA132" s="8" t="str">
        <f t="shared" si="31"/>
        <v/>
      </c>
      <c r="AB132" s="8" t="str">
        <f t="shared" si="31"/>
        <v/>
      </c>
      <c r="AC132" s="5" t="str">
        <f>","&amp;  CHAR(9) &amp; CHAR(9) &amp;"// " &amp; A132 &amp; IF(LEN(C132)&lt;&gt;0," - " &amp;  CHAR(39) &amp; C132 &amp; CHAR(39),"")</f>
        <v>,		// 128 - 'C sedilla'</v>
      </c>
      <c r="AD132" s="4"/>
      <c r="AE132" s="31" t="str">
        <f t="shared" si="30"/>
        <v>5, 30, 161, 161, 97, 18,		// 128 - 'C sedilla'</v>
      </c>
      <c r="AF132" s="4"/>
    </row>
    <row r="133" spans="1:32"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2">IF(D133&lt;&gt;0,D133,IF(N133&lt;&gt;0,10,IF(M133&lt;&gt;0,9,IF(L133&lt;&gt;0,8,IF(K133&lt;&gt;0,7,IF(J133&lt;&gt;0,6,IF(I133&lt;&gt;0,5,IF(H133&lt;&gt;0,4,IF(G133&lt;&gt;0,3,IF(F133&lt;&gt;0,2,IF(E133&lt;&gt;0,1,0)))))))))))</f>
        <v>5</v>
      </c>
      <c r="Q133" s="4">
        <f t="shared" ref="Q133:Q196" si="33">IF($Q$2,P5,0)</f>
        <v>0</v>
      </c>
      <c r="R133" s="4">
        <f t="shared" ref="R133:R196" si="34">MAX(P133:Q133)</f>
        <v>5</v>
      </c>
      <c r="S133" s="8" t="str">
        <f t="shared" ref="S133:S196" si="35">IF($R133&gt;=S$3,", "&amp;E133,"")</f>
        <v>, 56</v>
      </c>
      <c r="T133" s="8" t="str">
        <f t="shared" ref="T133:T196" si="36">IF($R133&gt;=T$3,", "&amp;F133,"")</f>
        <v>, 66</v>
      </c>
      <c r="U133" s="8" t="str">
        <f t="shared" ref="U133:U196" si="37">IF($R133&gt;=U$3,", "&amp;G133,"")</f>
        <v>, 64</v>
      </c>
      <c r="V133" s="8" t="str">
        <f t="shared" ref="V133:V196" si="38">IF($R133&gt;=V$3,", "&amp;H133,"")</f>
        <v>, 34</v>
      </c>
      <c r="W133" s="8" t="str">
        <f t="shared" ref="W133:W196" si="39">IF($R133&gt;=W$3,", "&amp;I133,"")</f>
        <v>, 120</v>
      </c>
      <c r="X133" s="8" t="str">
        <f t="shared" ref="X133:X196" si="40">IF($R133&gt;=X$3,", "&amp;J133,"")</f>
        <v/>
      </c>
      <c r="Y133" s="8" t="str">
        <f t="shared" ref="Y133:Y196" si="41">IF($R133&gt;=Y$3,", "&amp;K133,"")</f>
        <v/>
      </c>
      <c r="Z133" s="8" t="str">
        <f t="shared" ref="Z133:Z196" si="42">IF($R133&gt;=Z$3,", "&amp;L133,"")</f>
        <v/>
      </c>
      <c r="AA133" s="8" t="str">
        <f t="shared" ref="AA133:AA196" si="43">IF($R133&gt;=AA$3,", "&amp;M133,"")</f>
        <v/>
      </c>
      <c r="AB133" s="8" t="str">
        <f t="shared" ref="AB133:AB196" si="44">IF($R133&gt;=AB$3,", "&amp;N133,"")</f>
        <v/>
      </c>
      <c r="AC133" s="5" t="str">
        <f t="shared" ref="AC133:AC196" si="45">","&amp;  CHAR(9) &amp; CHAR(9) &amp;"// " &amp; A133 &amp; IF(LEN(C133)&lt;&gt;0," - " &amp;  CHAR(39) &amp; C133 &amp; CHAR(39),"")</f>
        <v>,		// 129 - 'u umlaut'</v>
      </c>
      <c r="AD133" s="4"/>
      <c r="AE133" s="31" t="str">
        <f t="shared" si="30"/>
        <v>5, 56, 66, 64, 34, 120,		// 129 - 'u umlaut'</v>
      </c>
      <c r="AF133" s="4"/>
    </row>
    <row r="134" spans="1:32"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2"/>
        <v>5</v>
      </c>
      <c r="Q134" s="4">
        <f t="shared" si="33"/>
        <v>0</v>
      </c>
      <c r="R134" s="4">
        <f t="shared" si="34"/>
        <v>5</v>
      </c>
      <c r="S134" s="8" t="str">
        <f t="shared" si="35"/>
        <v>, 56</v>
      </c>
      <c r="T134" s="8" t="str">
        <f t="shared" si="36"/>
        <v>, 84</v>
      </c>
      <c r="U134" s="8" t="str">
        <f t="shared" si="37"/>
        <v>, 84</v>
      </c>
      <c r="V134" s="8" t="str">
        <f t="shared" si="38"/>
        <v>, 85</v>
      </c>
      <c r="W134" s="8" t="str">
        <f t="shared" si="39"/>
        <v>, 89</v>
      </c>
      <c r="X134" s="8" t="str">
        <f t="shared" si="40"/>
        <v/>
      </c>
      <c r="Y134" s="8" t="str">
        <f t="shared" si="41"/>
        <v/>
      </c>
      <c r="Z134" s="8" t="str">
        <f t="shared" si="42"/>
        <v/>
      </c>
      <c r="AA134" s="8" t="str">
        <f t="shared" si="43"/>
        <v/>
      </c>
      <c r="AB134" s="8" t="str">
        <f t="shared" si="44"/>
        <v/>
      </c>
      <c r="AC134" s="5" t="str">
        <f t="shared" si="45"/>
        <v>,		// 130 - 'e acute'</v>
      </c>
      <c r="AD134" s="4"/>
      <c r="AE134" s="31" t="str">
        <f t="shared" ref="AE134:AE197" si="46">MAX(P134,Q134)&amp;S134&amp;T134&amp;U134&amp;V134&amp;W134&amp;X134&amp;Y134&amp;Z134&amp;AA134&amp;AB134&amp;AC134</f>
        <v>5, 56, 84, 84, 85, 89,		// 130 - 'e acute'</v>
      </c>
      <c r="AF134" s="4"/>
    </row>
    <row r="135" spans="1:32"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2"/>
        <v>5</v>
      </c>
      <c r="Q135" s="4">
        <f t="shared" si="33"/>
        <v>0</v>
      </c>
      <c r="R135" s="4">
        <f t="shared" si="34"/>
        <v>5</v>
      </c>
      <c r="S135" s="8" t="str">
        <f t="shared" si="35"/>
        <v>, 33</v>
      </c>
      <c r="T135" s="8" t="str">
        <f t="shared" si="36"/>
        <v>, 85</v>
      </c>
      <c r="U135" s="8" t="str">
        <f t="shared" si="37"/>
        <v>, 85</v>
      </c>
      <c r="V135" s="8" t="str">
        <f t="shared" si="38"/>
        <v>, 121</v>
      </c>
      <c r="W135" s="8" t="str">
        <f t="shared" si="39"/>
        <v>, 65</v>
      </c>
      <c r="X135" s="8" t="str">
        <f t="shared" si="40"/>
        <v/>
      </c>
      <c r="Y135" s="8" t="str">
        <f t="shared" si="41"/>
        <v/>
      </c>
      <c r="Z135" s="8" t="str">
        <f t="shared" si="42"/>
        <v/>
      </c>
      <c r="AA135" s="8" t="str">
        <f t="shared" si="43"/>
        <v/>
      </c>
      <c r="AB135" s="8" t="str">
        <f t="shared" si="44"/>
        <v/>
      </c>
      <c r="AC135" s="5" t="str">
        <f t="shared" si="45"/>
        <v>,		// 131 - 'a accent'</v>
      </c>
      <c r="AD135" s="4"/>
      <c r="AE135" s="31" t="str">
        <f t="shared" si="46"/>
        <v>5, 33, 85, 85, 121, 65,		// 131 - 'a accent'</v>
      </c>
      <c r="AF135" s="4"/>
    </row>
    <row r="136" spans="1:32"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2"/>
        <v>5</v>
      </c>
      <c r="Q136" s="4">
        <f t="shared" si="33"/>
        <v>0</v>
      </c>
      <c r="R136" s="4">
        <f t="shared" si="34"/>
        <v>5</v>
      </c>
      <c r="S136" s="8" t="str">
        <f t="shared" si="35"/>
        <v>, 33</v>
      </c>
      <c r="T136" s="8" t="str">
        <f t="shared" si="36"/>
        <v>, 84</v>
      </c>
      <c r="U136" s="8" t="str">
        <f t="shared" si="37"/>
        <v>, 84</v>
      </c>
      <c r="V136" s="8" t="str">
        <f t="shared" si="38"/>
        <v>, 120</v>
      </c>
      <c r="W136" s="8" t="str">
        <f t="shared" si="39"/>
        <v>, 65</v>
      </c>
      <c r="X136" s="8" t="str">
        <f t="shared" si="40"/>
        <v/>
      </c>
      <c r="Y136" s="8" t="str">
        <f t="shared" si="41"/>
        <v/>
      </c>
      <c r="Z136" s="8" t="str">
        <f t="shared" si="42"/>
        <v/>
      </c>
      <c r="AA136" s="8" t="str">
        <f t="shared" si="43"/>
        <v/>
      </c>
      <c r="AB136" s="8" t="str">
        <f t="shared" si="44"/>
        <v/>
      </c>
      <c r="AC136" s="5" t="str">
        <f t="shared" si="45"/>
        <v>,		// 132 - 'a umlaut'</v>
      </c>
      <c r="AD136" s="4"/>
      <c r="AE136" s="31" t="str">
        <f t="shared" si="46"/>
        <v>5, 33, 84, 84, 120, 65,		// 132 - 'a umlaut'</v>
      </c>
      <c r="AF136" s="4"/>
    </row>
    <row r="137" spans="1:32"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2"/>
        <v>5</v>
      </c>
      <c r="Q137" s="4">
        <f t="shared" si="33"/>
        <v>0</v>
      </c>
      <c r="R137" s="4">
        <f t="shared" si="34"/>
        <v>5</v>
      </c>
      <c r="S137" s="8" t="str">
        <f t="shared" si="35"/>
        <v>, 33</v>
      </c>
      <c r="T137" s="8" t="str">
        <f t="shared" si="36"/>
        <v>, 85</v>
      </c>
      <c r="U137" s="8" t="str">
        <f t="shared" si="37"/>
        <v>, 84</v>
      </c>
      <c r="V137" s="8" t="str">
        <f t="shared" si="38"/>
        <v>, 120</v>
      </c>
      <c r="W137" s="8" t="str">
        <f t="shared" si="39"/>
        <v>, 64</v>
      </c>
      <c r="X137" s="8" t="str">
        <f t="shared" si="40"/>
        <v/>
      </c>
      <c r="Y137" s="8" t="str">
        <f t="shared" si="41"/>
        <v/>
      </c>
      <c r="Z137" s="8" t="str">
        <f t="shared" si="42"/>
        <v/>
      </c>
      <c r="AA137" s="8" t="str">
        <f t="shared" si="43"/>
        <v/>
      </c>
      <c r="AB137" s="8" t="str">
        <f t="shared" si="44"/>
        <v/>
      </c>
      <c r="AC137" s="5" t="str">
        <f t="shared" si="45"/>
        <v>,		// 133 - 'a grave'</v>
      </c>
      <c r="AD137" s="4"/>
      <c r="AE137" s="31" t="str">
        <f t="shared" si="46"/>
        <v>5, 33, 85, 84, 120, 64,		// 133 - 'a grave'</v>
      </c>
      <c r="AF137" s="4"/>
    </row>
    <row r="138" spans="1:32"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2"/>
        <v>5</v>
      </c>
      <c r="Q138" s="4">
        <f t="shared" si="33"/>
        <v>0</v>
      </c>
      <c r="R138" s="4">
        <f t="shared" si="34"/>
        <v>5</v>
      </c>
      <c r="S138" s="8" t="str">
        <f t="shared" si="35"/>
        <v>, 32</v>
      </c>
      <c r="T138" s="8" t="str">
        <f t="shared" si="36"/>
        <v>, 84</v>
      </c>
      <c r="U138" s="8" t="str">
        <f t="shared" si="37"/>
        <v>, 85</v>
      </c>
      <c r="V138" s="8" t="str">
        <f t="shared" si="38"/>
        <v>, 121</v>
      </c>
      <c r="W138" s="8" t="str">
        <f t="shared" si="39"/>
        <v>, 64</v>
      </c>
      <c r="X138" s="8" t="str">
        <f t="shared" si="40"/>
        <v/>
      </c>
      <c r="Y138" s="8" t="str">
        <f t="shared" si="41"/>
        <v/>
      </c>
      <c r="Z138" s="8" t="str">
        <f t="shared" si="42"/>
        <v/>
      </c>
      <c r="AA138" s="8" t="str">
        <f t="shared" si="43"/>
        <v/>
      </c>
      <c r="AB138" s="8" t="str">
        <f t="shared" si="44"/>
        <v/>
      </c>
      <c r="AC138" s="5" t="str">
        <f t="shared" si="45"/>
        <v>,		// 134 - 'a acute'</v>
      </c>
      <c r="AD138" s="4"/>
      <c r="AE138" s="31" t="str">
        <f t="shared" si="46"/>
        <v>5, 32, 84, 85, 121, 64,		// 134 - 'a acute'</v>
      </c>
      <c r="AF138" s="4"/>
    </row>
    <row r="139" spans="1:32"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2"/>
        <v>5</v>
      </c>
      <c r="Q139" s="4">
        <f t="shared" si="33"/>
        <v>0</v>
      </c>
      <c r="R139" s="4">
        <f t="shared" si="34"/>
        <v>5</v>
      </c>
      <c r="S139" s="8" t="str">
        <f t="shared" si="35"/>
        <v>, 24</v>
      </c>
      <c r="T139" s="8" t="str">
        <f t="shared" si="36"/>
        <v>, 60</v>
      </c>
      <c r="U139" s="8" t="str">
        <f t="shared" si="37"/>
        <v>, 164</v>
      </c>
      <c r="V139" s="8" t="str">
        <f t="shared" si="38"/>
        <v>, 228</v>
      </c>
      <c r="W139" s="8" t="str">
        <f t="shared" si="39"/>
        <v>, 36</v>
      </c>
      <c r="X139" s="8" t="str">
        <f t="shared" si="40"/>
        <v/>
      </c>
      <c r="Y139" s="8" t="str">
        <f t="shared" si="41"/>
        <v/>
      </c>
      <c r="Z139" s="8" t="str">
        <f t="shared" si="42"/>
        <v/>
      </c>
      <c r="AA139" s="8" t="str">
        <f t="shared" si="43"/>
        <v/>
      </c>
      <c r="AB139" s="8" t="str">
        <f t="shared" si="44"/>
        <v/>
      </c>
      <c r="AC139" s="5" t="str">
        <f t="shared" si="45"/>
        <v>,		// 135 - 'c sedilla'</v>
      </c>
      <c r="AD139" s="4"/>
      <c r="AE139" s="31" t="str">
        <f t="shared" si="46"/>
        <v>5, 24, 60, 164, 228, 36,		// 135 - 'c sedilla'</v>
      </c>
      <c r="AF139" s="4"/>
    </row>
    <row r="140" spans="1:32"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2"/>
        <v>5</v>
      </c>
      <c r="Q140" s="4">
        <f t="shared" si="33"/>
        <v>0</v>
      </c>
      <c r="R140" s="4">
        <f t="shared" si="34"/>
        <v>5</v>
      </c>
      <c r="S140" s="8" t="str">
        <f t="shared" si="35"/>
        <v>, 57</v>
      </c>
      <c r="T140" s="8" t="str">
        <f t="shared" si="36"/>
        <v>, 85</v>
      </c>
      <c r="U140" s="8" t="str">
        <f t="shared" si="37"/>
        <v>, 85</v>
      </c>
      <c r="V140" s="8" t="str">
        <f t="shared" si="38"/>
        <v>, 85</v>
      </c>
      <c r="W140" s="8" t="str">
        <f t="shared" si="39"/>
        <v>, 89</v>
      </c>
      <c r="X140" s="8" t="str">
        <f t="shared" si="40"/>
        <v/>
      </c>
      <c r="Y140" s="8" t="str">
        <f t="shared" si="41"/>
        <v/>
      </c>
      <c r="Z140" s="8" t="str">
        <f t="shared" si="42"/>
        <v/>
      </c>
      <c r="AA140" s="8" t="str">
        <f t="shared" si="43"/>
        <v/>
      </c>
      <c r="AB140" s="8" t="str">
        <f t="shared" si="44"/>
        <v/>
      </c>
      <c r="AC140" s="5" t="str">
        <f t="shared" si="45"/>
        <v>,		// 136 - 'e accent'</v>
      </c>
      <c r="AD140" s="4"/>
      <c r="AE140" s="31" t="str">
        <f t="shared" si="46"/>
        <v>5, 57, 85, 85, 85, 89,		// 136 - 'e accent'</v>
      </c>
      <c r="AF140" s="4"/>
    </row>
    <row r="141" spans="1:32"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2"/>
        <v>5</v>
      </c>
      <c r="Q141" s="4">
        <f t="shared" si="33"/>
        <v>0</v>
      </c>
      <c r="R141" s="4">
        <f t="shared" si="34"/>
        <v>5</v>
      </c>
      <c r="S141" s="8" t="str">
        <f t="shared" si="35"/>
        <v>, 56</v>
      </c>
      <c r="T141" s="8" t="str">
        <f t="shared" si="36"/>
        <v>, 85</v>
      </c>
      <c r="U141" s="8" t="str">
        <f t="shared" si="37"/>
        <v>, 84</v>
      </c>
      <c r="V141" s="8" t="str">
        <f t="shared" si="38"/>
        <v>, 85</v>
      </c>
      <c r="W141" s="8" t="str">
        <f t="shared" si="39"/>
        <v>, 88</v>
      </c>
      <c r="X141" s="8" t="str">
        <f t="shared" si="40"/>
        <v/>
      </c>
      <c r="Y141" s="8" t="str">
        <f t="shared" si="41"/>
        <v/>
      </c>
      <c r="Z141" s="8" t="str">
        <f t="shared" si="42"/>
        <v/>
      </c>
      <c r="AA141" s="8" t="str">
        <f t="shared" si="43"/>
        <v/>
      </c>
      <c r="AB141" s="8" t="str">
        <f t="shared" si="44"/>
        <v/>
      </c>
      <c r="AC141" s="5" t="str">
        <f t="shared" si="45"/>
        <v>,		// 137 - 'e umlaut'</v>
      </c>
      <c r="AD141" s="4"/>
      <c r="AE141" s="31" t="str">
        <f t="shared" si="46"/>
        <v>5, 56, 85, 84, 85, 88,		// 137 - 'e umlaut'</v>
      </c>
      <c r="AF141" s="4"/>
    </row>
    <row r="142" spans="1:32"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2"/>
        <v>5</v>
      </c>
      <c r="Q142" s="4">
        <f t="shared" si="33"/>
        <v>0</v>
      </c>
      <c r="R142" s="4">
        <f t="shared" si="34"/>
        <v>5</v>
      </c>
      <c r="S142" s="8" t="str">
        <f t="shared" si="35"/>
        <v>, 57</v>
      </c>
      <c r="T142" s="8" t="str">
        <f t="shared" si="36"/>
        <v>, 85</v>
      </c>
      <c r="U142" s="8" t="str">
        <f t="shared" si="37"/>
        <v>, 84</v>
      </c>
      <c r="V142" s="8" t="str">
        <f t="shared" si="38"/>
        <v>, 84</v>
      </c>
      <c r="W142" s="8" t="str">
        <f t="shared" si="39"/>
        <v>, 88</v>
      </c>
      <c r="X142" s="8" t="str">
        <f t="shared" si="40"/>
        <v/>
      </c>
      <c r="Y142" s="8" t="str">
        <f t="shared" si="41"/>
        <v/>
      </c>
      <c r="Z142" s="8" t="str">
        <f t="shared" si="42"/>
        <v/>
      </c>
      <c r="AA142" s="8" t="str">
        <f t="shared" si="43"/>
        <v/>
      </c>
      <c r="AB142" s="8" t="str">
        <f t="shared" si="44"/>
        <v/>
      </c>
      <c r="AC142" s="5" t="str">
        <f t="shared" si="45"/>
        <v>,		// 138 - 'e grave'</v>
      </c>
      <c r="AD142" s="4"/>
      <c r="AE142" s="31" t="str">
        <f t="shared" si="46"/>
        <v>5, 57, 85, 84, 84, 88,		// 138 - 'e grave'</v>
      </c>
      <c r="AF142" s="4"/>
    </row>
    <row r="143" spans="1:32"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2"/>
        <v>3</v>
      </c>
      <c r="Q143" s="4">
        <f t="shared" si="33"/>
        <v>0</v>
      </c>
      <c r="R143" s="4">
        <f t="shared" si="34"/>
        <v>3</v>
      </c>
      <c r="S143" s="8" t="str">
        <f t="shared" si="35"/>
        <v>, 69</v>
      </c>
      <c r="T143" s="8" t="str">
        <f t="shared" si="36"/>
        <v>, 124</v>
      </c>
      <c r="U143" s="8" t="str">
        <f t="shared" si="37"/>
        <v>, 65</v>
      </c>
      <c r="V143" s="8" t="str">
        <f t="shared" si="38"/>
        <v/>
      </c>
      <c r="W143" s="8" t="str">
        <f t="shared" si="39"/>
        <v/>
      </c>
      <c r="X143" s="8" t="str">
        <f t="shared" si="40"/>
        <v/>
      </c>
      <c r="Y143" s="8" t="str">
        <f t="shared" si="41"/>
        <v/>
      </c>
      <c r="Z143" s="8" t="str">
        <f t="shared" si="42"/>
        <v/>
      </c>
      <c r="AA143" s="8" t="str">
        <f t="shared" si="43"/>
        <v/>
      </c>
      <c r="AB143" s="8" t="str">
        <f t="shared" si="44"/>
        <v/>
      </c>
      <c r="AC143" s="5" t="str">
        <f t="shared" si="45"/>
        <v>,		// 139 - 'i umlaut'</v>
      </c>
      <c r="AD143" s="4"/>
      <c r="AE143" s="31" t="str">
        <f t="shared" si="46"/>
        <v>3, 69, 124, 65,		// 139 - 'i umlaut'</v>
      </c>
      <c r="AF143" s="4"/>
    </row>
    <row r="144" spans="1:32"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2"/>
        <v>4</v>
      </c>
      <c r="Q144" s="4">
        <f t="shared" si="33"/>
        <v>0</v>
      </c>
      <c r="R144" s="4">
        <f t="shared" si="34"/>
        <v>4</v>
      </c>
      <c r="S144" s="8" t="str">
        <f t="shared" si="35"/>
        <v>, 2</v>
      </c>
      <c r="T144" s="8" t="str">
        <f t="shared" si="36"/>
        <v>, 69</v>
      </c>
      <c r="U144" s="8" t="str">
        <f t="shared" si="37"/>
        <v>, 125</v>
      </c>
      <c r="V144" s="8" t="str">
        <f t="shared" si="38"/>
        <v>, 66</v>
      </c>
      <c r="W144" s="8" t="str">
        <f t="shared" si="39"/>
        <v/>
      </c>
      <c r="X144" s="8" t="str">
        <f t="shared" si="40"/>
        <v/>
      </c>
      <c r="Y144" s="8" t="str">
        <f t="shared" si="41"/>
        <v/>
      </c>
      <c r="Z144" s="8" t="str">
        <f t="shared" si="42"/>
        <v/>
      </c>
      <c r="AA144" s="8" t="str">
        <f t="shared" si="43"/>
        <v/>
      </c>
      <c r="AB144" s="8" t="str">
        <f t="shared" si="44"/>
        <v/>
      </c>
      <c r="AC144" s="5" t="str">
        <f t="shared" si="45"/>
        <v>,		// 140 - 'i hat'</v>
      </c>
      <c r="AD144" s="4"/>
      <c r="AE144" s="31" t="str">
        <f t="shared" si="46"/>
        <v>4, 2, 69, 125, 66,		// 140 - 'i hat'</v>
      </c>
      <c r="AF144" s="4"/>
    </row>
    <row r="145" spans="1:32"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2"/>
        <v>4</v>
      </c>
      <c r="Q145" s="4">
        <f t="shared" si="33"/>
        <v>0</v>
      </c>
      <c r="R145" s="4">
        <f t="shared" si="34"/>
        <v>4</v>
      </c>
      <c r="S145" s="8" t="str">
        <f t="shared" si="35"/>
        <v>, 1</v>
      </c>
      <c r="T145" s="8" t="str">
        <f t="shared" si="36"/>
        <v>, 69</v>
      </c>
      <c r="U145" s="8" t="str">
        <f t="shared" si="37"/>
        <v>, 124</v>
      </c>
      <c r="V145" s="8" t="str">
        <f t="shared" si="38"/>
        <v>, 64</v>
      </c>
      <c r="W145" s="8" t="str">
        <f t="shared" si="39"/>
        <v/>
      </c>
      <c r="X145" s="8" t="str">
        <f t="shared" si="40"/>
        <v/>
      </c>
      <c r="Y145" s="8" t="str">
        <f t="shared" si="41"/>
        <v/>
      </c>
      <c r="Z145" s="8" t="str">
        <f t="shared" si="42"/>
        <v/>
      </c>
      <c r="AA145" s="8" t="str">
        <f t="shared" si="43"/>
        <v/>
      </c>
      <c r="AB145" s="8" t="str">
        <f t="shared" si="44"/>
        <v/>
      </c>
      <c r="AC145" s="5" t="str">
        <f t="shared" si="45"/>
        <v>,		// 141 - 'i grave'</v>
      </c>
      <c r="AD145" s="4"/>
      <c r="AE145" s="31" t="str">
        <f t="shared" si="46"/>
        <v>4, 1, 69, 124, 64,		// 141 - 'i grave'</v>
      </c>
      <c r="AF145" s="4"/>
    </row>
    <row r="146" spans="1:32"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2"/>
        <v>5</v>
      </c>
      <c r="Q146" s="4">
        <f t="shared" si="33"/>
        <v>0</v>
      </c>
      <c r="R146" s="4">
        <f t="shared" si="34"/>
        <v>5</v>
      </c>
      <c r="S146" s="8" t="str">
        <f t="shared" si="35"/>
        <v>, 240</v>
      </c>
      <c r="T146" s="8" t="str">
        <f t="shared" si="36"/>
        <v>, 41</v>
      </c>
      <c r="U146" s="8" t="str">
        <f t="shared" si="37"/>
        <v>, 36</v>
      </c>
      <c r="V146" s="8" t="str">
        <f t="shared" si="38"/>
        <v>, 41</v>
      </c>
      <c r="W146" s="8" t="str">
        <f t="shared" si="39"/>
        <v>, 240</v>
      </c>
      <c r="X146" s="8" t="str">
        <f t="shared" si="40"/>
        <v/>
      </c>
      <c r="Y146" s="8" t="str">
        <f t="shared" si="41"/>
        <v/>
      </c>
      <c r="Z146" s="8" t="str">
        <f t="shared" si="42"/>
        <v/>
      </c>
      <c r="AA146" s="8" t="str">
        <f t="shared" si="43"/>
        <v/>
      </c>
      <c r="AB146" s="8" t="str">
        <f t="shared" si="44"/>
        <v/>
      </c>
      <c r="AC146" s="5" t="str">
        <f t="shared" si="45"/>
        <v>,		// 142 - 'A umlaut'</v>
      </c>
      <c r="AD146" s="4"/>
      <c r="AE146" s="31" t="str">
        <f t="shared" si="46"/>
        <v>5, 240, 41, 36, 41, 240,		// 142 - 'A umlaut'</v>
      </c>
      <c r="AF146" s="4"/>
    </row>
    <row r="147" spans="1:32"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2"/>
        <v>5</v>
      </c>
      <c r="Q147" s="4">
        <f t="shared" si="33"/>
        <v>0</v>
      </c>
      <c r="R147" s="4">
        <f t="shared" si="34"/>
        <v>5</v>
      </c>
      <c r="S147" s="8" t="str">
        <f t="shared" si="35"/>
        <v>, 240</v>
      </c>
      <c r="T147" s="8" t="str">
        <f t="shared" si="36"/>
        <v>, 40</v>
      </c>
      <c r="U147" s="8" t="str">
        <f t="shared" si="37"/>
        <v>, 37</v>
      </c>
      <c r="V147" s="8" t="str">
        <f t="shared" si="38"/>
        <v>, 40</v>
      </c>
      <c r="W147" s="8" t="str">
        <f t="shared" si="39"/>
        <v>, 240</v>
      </c>
      <c r="X147" s="8" t="str">
        <f t="shared" si="40"/>
        <v/>
      </c>
      <c r="Y147" s="8" t="str">
        <f t="shared" si="41"/>
        <v/>
      </c>
      <c r="Z147" s="8" t="str">
        <f t="shared" si="42"/>
        <v/>
      </c>
      <c r="AA147" s="8" t="str">
        <f t="shared" si="43"/>
        <v/>
      </c>
      <c r="AB147" s="8" t="str">
        <f t="shared" si="44"/>
        <v/>
      </c>
      <c r="AC147" s="5" t="str">
        <f t="shared" si="45"/>
        <v>,		// 143 - 'A dot'</v>
      </c>
      <c r="AD147" s="4"/>
      <c r="AE147" s="31" t="str">
        <f t="shared" si="46"/>
        <v>5, 240, 40, 37, 40, 240,		// 143 - 'A dot'</v>
      </c>
      <c r="AF147" s="4"/>
    </row>
    <row r="148" spans="1:32"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2"/>
        <v>4</v>
      </c>
      <c r="Q148" s="4">
        <f t="shared" si="33"/>
        <v>0</v>
      </c>
      <c r="R148" s="4">
        <f t="shared" si="34"/>
        <v>4</v>
      </c>
      <c r="S148" s="8" t="str">
        <f t="shared" si="35"/>
        <v>, 124</v>
      </c>
      <c r="T148" s="8" t="str">
        <f t="shared" si="36"/>
        <v>, 84</v>
      </c>
      <c r="U148" s="8" t="str">
        <f t="shared" si="37"/>
        <v>, 85</v>
      </c>
      <c r="V148" s="8" t="str">
        <f t="shared" si="38"/>
        <v>, 69</v>
      </c>
      <c r="W148" s="8" t="str">
        <f t="shared" si="39"/>
        <v/>
      </c>
      <c r="X148" s="8" t="str">
        <f t="shared" si="40"/>
        <v/>
      </c>
      <c r="Y148" s="8" t="str">
        <f t="shared" si="41"/>
        <v/>
      </c>
      <c r="Z148" s="8" t="str">
        <f t="shared" si="42"/>
        <v/>
      </c>
      <c r="AA148" s="8" t="str">
        <f t="shared" si="43"/>
        <v/>
      </c>
      <c r="AB148" s="8" t="str">
        <f t="shared" si="44"/>
        <v/>
      </c>
      <c r="AC148" s="5" t="str">
        <f t="shared" si="45"/>
        <v>,		// 144 - 'E grave'</v>
      </c>
      <c r="AD148" s="4"/>
      <c r="AE148" s="31" t="str">
        <f t="shared" si="46"/>
        <v>4, 124, 84, 85, 69,		// 144 - 'E grave'</v>
      </c>
      <c r="AF148" s="4"/>
    </row>
    <row r="149" spans="1:32"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2"/>
        <v>7</v>
      </c>
      <c r="Q149" s="4">
        <f t="shared" si="33"/>
        <v>0</v>
      </c>
      <c r="R149" s="4">
        <f t="shared" si="34"/>
        <v>7</v>
      </c>
      <c r="S149" s="8" t="str">
        <f t="shared" si="35"/>
        <v>, 32</v>
      </c>
      <c r="T149" s="8" t="str">
        <f t="shared" si="36"/>
        <v>, 84</v>
      </c>
      <c r="U149" s="8" t="str">
        <f t="shared" si="37"/>
        <v>, 84</v>
      </c>
      <c r="V149" s="8" t="str">
        <f t="shared" si="38"/>
        <v>, 124</v>
      </c>
      <c r="W149" s="8" t="str">
        <f t="shared" si="39"/>
        <v>, 84</v>
      </c>
      <c r="X149" s="8" t="str">
        <f t="shared" si="40"/>
        <v>, 84</v>
      </c>
      <c r="Y149" s="8" t="str">
        <f t="shared" si="41"/>
        <v>, 8</v>
      </c>
      <c r="Z149" s="8" t="str">
        <f t="shared" si="42"/>
        <v/>
      </c>
      <c r="AA149" s="8" t="str">
        <f t="shared" si="43"/>
        <v/>
      </c>
      <c r="AB149" s="8" t="str">
        <f t="shared" si="44"/>
        <v/>
      </c>
      <c r="AC149" s="5" t="str">
        <f t="shared" si="45"/>
        <v>,		// 145 - 'ae'</v>
      </c>
      <c r="AD149" s="4"/>
      <c r="AE149" s="31" t="str">
        <f t="shared" si="46"/>
        <v>7, 32, 84, 84, 124, 84, 84, 8,		// 145 - 'ae'</v>
      </c>
      <c r="AF149" s="4"/>
    </row>
    <row r="150" spans="1:32"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2"/>
        <v>6</v>
      </c>
      <c r="Q150" s="4">
        <f t="shared" si="33"/>
        <v>0</v>
      </c>
      <c r="R150" s="4">
        <f t="shared" si="34"/>
        <v>6</v>
      </c>
      <c r="S150" s="8" t="str">
        <f t="shared" si="35"/>
        <v>, 124</v>
      </c>
      <c r="T150" s="8" t="str">
        <f t="shared" si="36"/>
        <v>, 10</v>
      </c>
      <c r="U150" s="8" t="str">
        <f t="shared" si="37"/>
        <v>, 9</v>
      </c>
      <c r="V150" s="8" t="str">
        <f t="shared" si="38"/>
        <v>, 127</v>
      </c>
      <c r="W150" s="8" t="str">
        <f t="shared" si="39"/>
        <v>, 73</v>
      </c>
      <c r="X150" s="8" t="str">
        <f t="shared" si="40"/>
        <v>, 73</v>
      </c>
      <c r="Y150" s="8" t="str">
        <f t="shared" si="41"/>
        <v/>
      </c>
      <c r="Z150" s="8" t="str">
        <f t="shared" si="42"/>
        <v/>
      </c>
      <c r="AA150" s="8" t="str">
        <f t="shared" si="43"/>
        <v/>
      </c>
      <c r="AB150" s="8" t="str">
        <f t="shared" si="44"/>
        <v/>
      </c>
      <c r="AC150" s="5" t="str">
        <f t="shared" si="45"/>
        <v>,		// 146 - 'AE'</v>
      </c>
      <c r="AD150" s="4"/>
      <c r="AE150" s="31" t="str">
        <f t="shared" si="46"/>
        <v>6, 124, 10, 9, 127, 73, 73,		// 146 - 'AE'</v>
      </c>
      <c r="AF150" s="4"/>
    </row>
    <row r="151" spans="1:32"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2"/>
        <v>5</v>
      </c>
      <c r="Q151" s="4">
        <f t="shared" si="33"/>
        <v>0</v>
      </c>
      <c r="R151" s="4">
        <f t="shared" si="34"/>
        <v>5</v>
      </c>
      <c r="S151" s="8" t="str">
        <f t="shared" si="35"/>
        <v>, 50</v>
      </c>
      <c r="T151" s="8" t="str">
        <f t="shared" si="36"/>
        <v>, 73</v>
      </c>
      <c r="U151" s="8" t="str">
        <f t="shared" si="37"/>
        <v>, 73</v>
      </c>
      <c r="V151" s="8" t="str">
        <f t="shared" si="38"/>
        <v>, 73</v>
      </c>
      <c r="W151" s="8" t="str">
        <f t="shared" si="39"/>
        <v>, 50</v>
      </c>
      <c r="X151" s="8" t="str">
        <f t="shared" si="40"/>
        <v/>
      </c>
      <c r="Y151" s="8" t="str">
        <f t="shared" si="41"/>
        <v/>
      </c>
      <c r="Z151" s="8" t="str">
        <f t="shared" si="42"/>
        <v/>
      </c>
      <c r="AA151" s="8" t="str">
        <f t="shared" si="43"/>
        <v/>
      </c>
      <c r="AB151" s="8" t="str">
        <f t="shared" si="44"/>
        <v/>
      </c>
      <c r="AC151" s="5" t="str">
        <f t="shared" si="45"/>
        <v>,		// 147 - 'o hat'</v>
      </c>
      <c r="AD151" s="4"/>
      <c r="AE151" s="31" t="str">
        <f t="shared" si="46"/>
        <v>5, 50, 73, 73, 73, 50,		// 147 - 'o hat'</v>
      </c>
      <c r="AF151" s="4"/>
    </row>
    <row r="152" spans="1:32"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2"/>
        <v>5</v>
      </c>
      <c r="Q152" s="4">
        <f t="shared" si="33"/>
        <v>0</v>
      </c>
      <c r="R152" s="4">
        <f t="shared" si="34"/>
        <v>5</v>
      </c>
      <c r="S152" s="8" t="str">
        <f t="shared" si="35"/>
        <v>, 48</v>
      </c>
      <c r="T152" s="8" t="str">
        <f t="shared" si="36"/>
        <v>, 74</v>
      </c>
      <c r="U152" s="8" t="str">
        <f t="shared" si="37"/>
        <v>, 72</v>
      </c>
      <c r="V152" s="8" t="str">
        <f t="shared" si="38"/>
        <v>, 74</v>
      </c>
      <c r="W152" s="8" t="str">
        <f t="shared" si="39"/>
        <v>, 48</v>
      </c>
      <c r="X152" s="8" t="str">
        <f t="shared" si="40"/>
        <v/>
      </c>
      <c r="Y152" s="8" t="str">
        <f t="shared" si="41"/>
        <v/>
      </c>
      <c r="Z152" s="8" t="str">
        <f t="shared" si="42"/>
        <v/>
      </c>
      <c r="AA152" s="8" t="str">
        <f t="shared" si="43"/>
        <v/>
      </c>
      <c r="AB152" s="8" t="str">
        <f t="shared" si="44"/>
        <v/>
      </c>
      <c r="AC152" s="5" t="str">
        <f t="shared" si="45"/>
        <v>,		// 148 - 'o umlaut'</v>
      </c>
      <c r="AD152" s="4"/>
      <c r="AE152" s="31" t="str">
        <f t="shared" si="46"/>
        <v>5, 48, 74, 72, 74, 48,		// 148 - 'o umlaut'</v>
      </c>
      <c r="AF152" s="4"/>
    </row>
    <row r="153" spans="1:32"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2"/>
        <v>5</v>
      </c>
      <c r="Q153" s="4">
        <f t="shared" si="33"/>
        <v>0</v>
      </c>
      <c r="R153" s="4">
        <f t="shared" si="34"/>
        <v>5</v>
      </c>
      <c r="S153" s="8" t="str">
        <f t="shared" si="35"/>
        <v>, 50</v>
      </c>
      <c r="T153" s="8" t="str">
        <f t="shared" si="36"/>
        <v>, 74</v>
      </c>
      <c r="U153" s="8" t="str">
        <f t="shared" si="37"/>
        <v>, 72</v>
      </c>
      <c r="V153" s="8" t="str">
        <f t="shared" si="38"/>
        <v>, 72</v>
      </c>
      <c r="W153" s="8" t="str">
        <f t="shared" si="39"/>
        <v>, 48</v>
      </c>
      <c r="X153" s="8" t="str">
        <f t="shared" si="40"/>
        <v/>
      </c>
      <c r="Y153" s="8" t="str">
        <f t="shared" si="41"/>
        <v/>
      </c>
      <c r="Z153" s="8" t="str">
        <f t="shared" si="42"/>
        <v/>
      </c>
      <c r="AA153" s="8" t="str">
        <f t="shared" si="43"/>
        <v/>
      </c>
      <c r="AB153" s="8" t="str">
        <f t="shared" si="44"/>
        <v/>
      </c>
      <c r="AC153" s="5" t="str">
        <f t="shared" si="45"/>
        <v>,		// 149 - 'o grave'</v>
      </c>
      <c r="AD153" s="4"/>
      <c r="AE153" s="31" t="str">
        <f t="shared" si="46"/>
        <v>5, 50, 74, 72, 72, 48,		// 149 - 'o grave'</v>
      </c>
      <c r="AF153" s="4"/>
    </row>
    <row r="154" spans="1:32"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2"/>
        <v>5</v>
      </c>
      <c r="Q154" s="4">
        <f t="shared" si="33"/>
        <v>0</v>
      </c>
      <c r="R154" s="4">
        <f t="shared" si="34"/>
        <v>5</v>
      </c>
      <c r="S154" s="8" t="str">
        <f t="shared" si="35"/>
        <v>, 58</v>
      </c>
      <c r="T154" s="8" t="str">
        <f t="shared" si="36"/>
        <v>, 65</v>
      </c>
      <c r="U154" s="8" t="str">
        <f t="shared" si="37"/>
        <v>, 65</v>
      </c>
      <c r="V154" s="8" t="str">
        <f t="shared" si="38"/>
        <v>, 33</v>
      </c>
      <c r="W154" s="8" t="str">
        <f t="shared" si="39"/>
        <v>, 122</v>
      </c>
      <c r="X154" s="8" t="str">
        <f t="shared" si="40"/>
        <v/>
      </c>
      <c r="Y154" s="8" t="str">
        <f t="shared" si="41"/>
        <v/>
      </c>
      <c r="Z154" s="8" t="str">
        <f t="shared" si="42"/>
        <v/>
      </c>
      <c r="AA154" s="8" t="str">
        <f t="shared" si="43"/>
        <v/>
      </c>
      <c r="AB154" s="8" t="str">
        <f t="shared" si="44"/>
        <v/>
      </c>
      <c r="AC154" s="5" t="str">
        <f t="shared" si="45"/>
        <v>,		// 150 - 'u hat'</v>
      </c>
      <c r="AD154" s="4"/>
      <c r="AE154" s="31" t="str">
        <f t="shared" si="46"/>
        <v>5, 58, 65, 65, 33, 122,		// 150 - 'u hat'</v>
      </c>
      <c r="AF154" s="4"/>
    </row>
    <row r="155" spans="1:32"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2"/>
        <v>5</v>
      </c>
      <c r="Q155" s="4">
        <f t="shared" si="33"/>
        <v>0</v>
      </c>
      <c r="R155" s="4">
        <f t="shared" si="34"/>
        <v>5</v>
      </c>
      <c r="S155" s="8" t="str">
        <f t="shared" si="35"/>
        <v>, 58</v>
      </c>
      <c r="T155" s="8" t="str">
        <f t="shared" si="36"/>
        <v>, 66</v>
      </c>
      <c r="U155" s="8" t="str">
        <f t="shared" si="37"/>
        <v>, 64</v>
      </c>
      <c r="V155" s="8" t="str">
        <f t="shared" si="38"/>
        <v>, 32</v>
      </c>
      <c r="W155" s="8" t="str">
        <f t="shared" si="39"/>
        <v>, 120</v>
      </c>
      <c r="X155" s="8" t="str">
        <f t="shared" si="40"/>
        <v/>
      </c>
      <c r="Y155" s="8" t="str">
        <f t="shared" si="41"/>
        <v/>
      </c>
      <c r="Z155" s="8" t="str">
        <f t="shared" si="42"/>
        <v/>
      </c>
      <c r="AA155" s="8" t="str">
        <f t="shared" si="43"/>
        <v/>
      </c>
      <c r="AB155" s="8" t="str">
        <f t="shared" si="44"/>
        <v/>
      </c>
      <c r="AC155" s="5" t="str">
        <f t="shared" si="45"/>
        <v>,		// 151 - 'u grave'</v>
      </c>
      <c r="AD155" s="4"/>
      <c r="AE155" s="31" t="str">
        <f t="shared" si="46"/>
        <v>5, 58, 66, 64, 32, 120,		// 151 - 'u grave'</v>
      </c>
      <c r="AF155" s="4"/>
    </row>
    <row r="156" spans="1:32"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2"/>
        <v>4</v>
      </c>
      <c r="Q156" s="4">
        <f t="shared" si="33"/>
        <v>0</v>
      </c>
      <c r="R156" s="4">
        <f t="shared" si="34"/>
        <v>4</v>
      </c>
      <c r="S156" s="8" t="str">
        <f t="shared" si="35"/>
        <v>, 157</v>
      </c>
      <c r="T156" s="8" t="str">
        <f t="shared" si="36"/>
        <v>, 160</v>
      </c>
      <c r="U156" s="8" t="str">
        <f t="shared" si="37"/>
        <v>, 160</v>
      </c>
      <c r="V156" s="8" t="str">
        <f t="shared" si="38"/>
        <v>, 125</v>
      </c>
      <c r="W156" s="8" t="str">
        <f t="shared" si="39"/>
        <v/>
      </c>
      <c r="X156" s="8" t="str">
        <f t="shared" si="40"/>
        <v/>
      </c>
      <c r="Y156" s="8" t="str">
        <f t="shared" si="41"/>
        <v/>
      </c>
      <c r="Z156" s="8" t="str">
        <f t="shared" si="42"/>
        <v/>
      </c>
      <c r="AA156" s="8" t="str">
        <f t="shared" si="43"/>
        <v/>
      </c>
      <c r="AB156" s="8" t="str">
        <f t="shared" si="44"/>
        <v/>
      </c>
      <c r="AC156" s="5" t="str">
        <f t="shared" si="45"/>
        <v>,		// 152 - 'y umlaut'</v>
      </c>
      <c r="AD156" s="4"/>
      <c r="AE156" s="31" t="str">
        <f t="shared" si="46"/>
        <v>4, 157, 160, 160, 125,		// 152 - 'y umlaut'</v>
      </c>
      <c r="AF156" s="4"/>
    </row>
    <row r="157" spans="1:32"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2"/>
        <v>5</v>
      </c>
      <c r="Q157" s="4">
        <f t="shared" si="33"/>
        <v>0</v>
      </c>
      <c r="R157" s="4">
        <f t="shared" si="34"/>
        <v>5</v>
      </c>
      <c r="S157" s="8" t="str">
        <f t="shared" si="35"/>
        <v>, 56</v>
      </c>
      <c r="T157" s="8" t="str">
        <f t="shared" si="36"/>
        <v>, 69</v>
      </c>
      <c r="U157" s="8" t="str">
        <f t="shared" si="37"/>
        <v>, 68</v>
      </c>
      <c r="V157" s="8" t="str">
        <f t="shared" si="38"/>
        <v>, 69</v>
      </c>
      <c r="W157" s="8" t="str">
        <f t="shared" si="39"/>
        <v>, 56</v>
      </c>
      <c r="X157" s="8" t="str">
        <f t="shared" si="40"/>
        <v/>
      </c>
      <c r="Y157" s="8" t="str">
        <f t="shared" si="41"/>
        <v/>
      </c>
      <c r="Z157" s="8" t="str">
        <f t="shared" si="42"/>
        <v/>
      </c>
      <c r="AA157" s="8" t="str">
        <f t="shared" si="43"/>
        <v/>
      </c>
      <c r="AB157" s="8" t="str">
        <f t="shared" si="44"/>
        <v/>
      </c>
      <c r="AC157" s="5" t="str">
        <f t="shared" si="45"/>
        <v>,		// 153 - 'O umlaut'</v>
      </c>
      <c r="AD157" s="4"/>
      <c r="AE157" s="31" t="str">
        <f t="shared" si="46"/>
        <v>5, 56, 69, 68, 69, 56,		// 153 - 'O umlaut'</v>
      </c>
      <c r="AF157" s="4"/>
    </row>
    <row r="158" spans="1:32"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2"/>
        <v>5</v>
      </c>
      <c r="Q158" s="4">
        <f t="shared" si="33"/>
        <v>0</v>
      </c>
      <c r="R158" s="4">
        <f t="shared" si="34"/>
        <v>5</v>
      </c>
      <c r="S158" s="8" t="str">
        <f t="shared" si="35"/>
        <v>, 60</v>
      </c>
      <c r="T158" s="8" t="str">
        <f t="shared" si="36"/>
        <v>, 65</v>
      </c>
      <c r="U158" s="8" t="str">
        <f t="shared" si="37"/>
        <v>, 64</v>
      </c>
      <c r="V158" s="8" t="str">
        <f t="shared" si="38"/>
        <v>, 65</v>
      </c>
      <c r="W158" s="8" t="str">
        <f t="shared" si="39"/>
        <v>, 60</v>
      </c>
      <c r="X158" s="8" t="str">
        <f t="shared" si="40"/>
        <v/>
      </c>
      <c r="Y158" s="8" t="str">
        <f t="shared" si="41"/>
        <v/>
      </c>
      <c r="Z158" s="8" t="str">
        <f t="shared" si="42"/>
        <v/>
      </c>
      <c r="AA158" s="8" t="str">
        <f t="shared" si="43"/>
        <v/>
      </c>
      <c r="AB158" s="8" t="str">
        <f t="shared" si="44"/>
        <v/>
      </c>
      <c r="AC158" s="5" t="str">
        <f t="shared" si="45"/>
        <v>,		// 154 - 'U umlaut'</v>
      </c>
      <c r="AD158" s="4"/>
      <c r="AE158" s="31" t="str">
        <f t="shared" si="46"/>
        <v>5, 60, 65, 64, 65, 60,		// 154 - 'U umlaut'</v>
      </c>
      <c r="AF158" s="4"/>
    </row>
    <row r="159" spans="1:32"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2"/>
        <v>5</v>
      </c>
      <c r="Q159" s="4">
        <f t="shared" si="33"/>
        <v>0</v>
      </c>
      <c r="R159" s="4">
        <f t="shared" si="34"/>
        <v>5</v>
      </c>
      <c r="S159" s="8" t="str">
        <f t="shared" si="35"/>
        <v>, 60</v>
      </c>
      <c r="T159" s="8" t="str">
        <f t="shared" si="36"/>
        <v>, 36</v>
      </c>
      <c r="U159" s="8" t="str">
        <f t="shared" si="37"/>
        <v>, 255</v>
      </c>
      <c r="V159" s="8" t="str">
        <f t="shared" si="38"/>
        <v>, 36</v>
      </c>
      <c r="W159" s="8" t="str">
        <f t="shared" si="39"/>
        <v>, 36</v>
      </c>
      <c r="X159" s="8" t="str">
        <f t="shared" si="40"/>
        <v/>
      </c>
      <c r="Y159" s="8" t="str">
        <f t="shared" si="41"/>
        <v/>
      </c>
      <c r="Z159" s="8" t="str">
        <f t="shared" si="42"/>
        <v/>
      </c>
      <c r="AA159" s="8" t="str">
        <f t="shared" si="43"/>
        <v/>
      </c>
      <c r="AB159" s="8" t="str">
        <f t="shared" si="44"/>
        <v/>
      </c>
      <c r="AC159" s="5" t="str">
        <f t="shared" si="45"/>
        <v>,		// 155 - 'Cents'</v>
      </c>
      <c r="AD159" s="4"/>
      <c r="AE159" s="31" t="str">
        <f t="shared" si="46"/>
        <v>5, 60, 36, 255, 36, 36,		// 155 - 'Cents'</v>
      </c>
      <c r="AF159" s="4"/>
    </row>
    <row r="160" spans="1:32"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2"/>
        <v>5</v>
      </c>
      <c r="Q160" s="4">
        <f t="shared" si="33"/>
        <v>0</v>
      </c>
      <c r="R160" s="4">
        <f t="shared" si="34"/>
        <v>5</v>
      </c>
      <c r="S160" s="8" t="str">
        <f t="shared" si="35"/>
        <v>, 72</v>
      </c>
      <c r="T160" s="8" t="str">
        <f t="shared" si="36"/>
        <v>, 126</v>
      </c>
      <c r="U160" s="8" t="str">
        <f t="shared" si="37"/>
        <v>, 73</v>
      </c>
      <c r="V160" s="8" t="str">
        <f t="shared" si="38"/>
        <v>, 67</v>
      </c>
      <c r="W160" s="8" t="str">
        <f t="shared" si="39"/>
        <v>, 102</v>
      </c>
      <c r="X160" s="8" t="str">
        <f t="shared" si="40"/>
        <v/>
      </c>
      <c r="Y160" s="8" t="str">
        <f t="shared" si="41"/>
        <v/>
      </c>
      <c r="Z160" s="8" t="str">
        <f t="shared" si="42"/>
        <v/>
      </c>
      <c r="AA160" s="8" t="str">
        <f t="shared" si="43"/>
        <v/>
      </c>
      <c r="AB160" s="8" t="str">
        <f t="shared" si="44"/>
        <v/>
      </c>
      <c r="AC160" s="5" t="str">
        <f t="shared" si="45"/>
        <v>,		// 156 - 'Pounds'</v>
      </c>
      <c r="AD160" s="4"/>
      <c r="AE160" s="31" t="str">
        <f t="shared" si="46"/>
        <v>5, 72, 126, 73, 67, 102,		// 156 - 'Pounds'</v>
      </c>
      <c r="AF160" s="4"/>
    </row>
    <row r="161" spans="1:32"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2"/>
        <v>5</v>
      </c>
      <c r="Q161" s="4">
        <f t="shared" si="33"/>
        <v>0</v>
      </c>
      <c r="R161" s="4">
        <f t="shared" si="34"/>
        <v>5</v>
      </c>
      <c r="S161" s="8" t="str">
        <f t="shared" si="35"/>
        <v>, 43</v>
      </c>
      <c r="T161" s="8" t="str">
        <f t="shared" si="36"/>
        <v>, 47</v>
      </c>
      <c r="U161" s="8" t="str">
        <f t="shared" si="37"/>
        <v>, 252</v>
      </c>
      <c r="V161" s="8" t="str">
        <f t="shared" si="38"/>
        <v>, 47</v>
      </c>
      <c r="W161" s="8" t="str">
        <f t="shared" si="39"/>
        <v>, 43</v>
      </c>
      <c r="X161" s="8" t="str">
        <f t="shared" si="40"/>
        <v/>
      </c>
      <c r="Y161" s="8" t="str">
        <f t="shared" si="41"/>
        <v/>
      </c>
      <c r="Z161" s="8" t="str">
        <f t="shared" si="42"/>
        <v/>
      </c>
      <c r="AA161" s="8" t="str">
        <f t="shared" si="43"/>
        <v/>
      </c>
      <c r="AB161" s="8" t="str">
        <f t="shared" si="44"/>
        <v/>
      </c>
      <c r="AC161" s="5" t="str">
        <f t="shared" si="45"/>
        <v>,		// 157 - 'Yen'</v>
      </c>
      <c r="AD161" s="4"/>
      <c r="AE161" s="31" t="str">
        <f t="shared" si="46"/>
        <v>5, 43, 47, 252, 47, 43,		// 157 - 'Yen'</v>
      </c>
      <c r="AF161" s="4"/>
    </row>
    <row r="162" spans="1:32" x14ac:dyDescent="0.25">
      <c r="A162" s="16">
        <v>158</v>
      </c>
      <c r="B162" s="20"/>
      <c r="C162" s="38" t="s">
        <v>162</v>
      </c>
      <c r="D162" s="42">
        <v>0</v>
      </c>
      <c r="E162" s="11">
        <v>255</v>
      </c>
      <c r="F162" s="11">
        <v>9</v>
      </c>
      <c r="G162" s="11">
        <v>41</v>
      </c>
      <c r="H162" s="11">
        <v>246</v>
      </c>
      <c r="I162" s="11">
        <v>32</v>
      </c>
      <c r="J162" s="11">
        <v>0</v>
      </c>
      <c r="K162" s="11">
        <v>0</v>
      </c>
      <c r="L162" s="11">
        <v>0</v>
      </c>
      <c r="M162" s="11">
        <v>0</v>
      </c>
      <c r="N162" s="12">
        <v>0</v>
      </c>
      <c r="O162" s="4"/>
      <c r="P162" s="4">
        <f t="shared" si="32"/>
        <v>5</v>
      </c>
      <c r="Q162" s="4">
        <f t="shared" si="33"/>
        <v>0</v>
      </c>
      <c r="R162" s="4">
        <f t="shared" si="34"/>
        <v>5</v>
      </c>
      <c r="S162" s="8" t="str">
        <f t="shared" si="35"/>
        <v>, 255</v>
      </c>
      <c r="T162" s="8" t="str">
        <f t="shared" si="36"/>
        <v>, 9</v>
      </c>
      <c r="U162" s="8" t="str">
        <f t="shared" si="37"/>
        <v>, 41</v>
      </c>
      <c r="V162" s="8" t="str">
        <f t="shared" si="38"/>
        <v>, 246</v>
      </c>
      <c r="W162" s="8" t="str">
        <f t="shared" si="39"/>
        <v>, 32</v>
      </c>
      <c r="X162" s="8" t="str">
        <f t="shared" si="40"/>
        <v/>
      </c>
      <c r="Y162" s="8" t="str">
        <f t="shared" si="41"/>
        <v/>
      </c>
      <c r="Z162" s="8" t="str">
        <f t="shared" si="42"/>
        <v/>
      </c>
      <c r="AA162" s="8" t="str">
        <f t="shared" si="43"/>
        <v/>
      </c>
      <c r="AB162" s="8" t="str">
        <f t="shared" si="44"/>
        <v/>
      </c>
      <c r="AC162" s="5" t="str">
        <f t="shared" si="45"/>
        <v>,		// 158 - 'R +'</v>
      </c>
      <c r="AD162" s="4"/>
      <c r="AE162" s="31" t="str">
        <f t="shared" si="46"/>
        <v>5, 255, 9, 41, 246, 32,		// 158 - 'R +'</v>
      </c>
      <c r="AF162" s="4"/>
    </row>
    <row r="163" spans="1:32" x14ac:dyDescent="0.25">
      <c r="A163" s="16">
        <v>159</v>
      </c>
      <c r="B163" s="20"/>
      <c r="C163" s="38" t="s">
        <v>163</v>
      </c>
      <c r="D163" s="42">
        <v>0</v>
      </c>
      <c r="E163" s="11">
        <v>192</v>
      </c>
      <c r="F163" s="11">
        <v>136</v>
      </c>
      <c r="G163" s="11">
        <v>126</v>
      </c>
      <c r="H163" s="11">
        <v>9</v>
      </c>
      <c r="I163" s="11">
        <v>3</v>
      </c>
      <c r="J163" s="11">
        <v>0</v>
      </c>
      <c r="K163" s="11">
        <v>0</v>
      </c>
      <c r="L163" s="11">
        <v>0</v>
      </c>
      <c r="M163" s="11">
        <v>0</v>
      </c>
      <c r="N163" s="12">
        <v>0</v>
      </c>
      <c r="O163" s="4"/>
      <c r="P163" s="4">
        <f t="shared" si="32"/>
        <v>5</v>
      </c>
      <c r="Q163" s="4">
        <f t="shared" si="33"/>
        <v>0</v>
      </c>
      <c r="R163" s="4">
        <f t="shared" si="34"/>
        <v>5</v>
      </c>
      <c r="S163" s="8" t="str">
        <f t="shared" si="35"/>
        <v>, 192</v>
      </c>
      <c r="T163" s="8" t="str">
        <f t="shared" si="36"/>
        <v>, 136</v>
      </c>
      <c r="U163" s="8" t="str">
        <f t="shared" si="37"/>
        <v>, 126</v>
      </c>
      <c r="V163" s="8" t="str">
        <f t="shared" si="38"/>
        <v>, 9</v>
      </c>
      <c r="W163" s="8" t="str">
        <f t="shared" si="39"/>
        <v>, 3</v>
      </c>
      <c r="X163" s="8" t="str">
        <f t="shared" si="40"/>
        <v/>
      </c>
      <c r="Y163" s="8" t="str">
        <f t="shared" si="41"/>
        <v/>
      </c>
      <c r="Z163" s="8" t="str">
        <f t="shared" si="42"/>
        <v/>
      </c>
      <c r="AA163" s="8" t="str">
        <f t="shared" si="43"/>
        <v/>
      </c>
      <c r="AB163" s="8" t="str">
        <f t="shared" si="44"/>
        <v/>
      </c>
      <c r="AC163" s="5" t="str">
        <f t="shared" si="45"/>
        <v>,		// 159 - 'f notation'</v>
      </c>
      <c r="AD163" s="4"/>
      <c r="AE163" s="31" t="str">
        <f t="shared" si="46"/>
        <v>5, 192, 136, 126, 9, 3,		// 159 - 'f notation'</v>
      </c>
      <c r="AF163" s="4"/>
    </row>
    <row r="164" spans="1:32"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2"/>
        <v>5</v>
      </c>
      <c r="Q164" s="4">
        <f t="shared" si="33"/>
        <v>0</v>
      </c>
      <c r="R164" s="4">
        <f t="shared" si="34"/>
        <v>5</v>
      </c>
      <c r="S164" s="8" t="str">
        <f t="shared" si="35"/>
        <v>, 32</v>
      </c>
      <c r="T164" s="8" t="str">
        <f t="shared" si="36"/>
        <v>, 84</v>
      </c>
      <c r="U164" s="8" t="str">
        <f t="shared" si="37"/>
        <v>, 84</v>
      </c>
      <c r="V164" s="8" t="str">
        <f t="shared" si="38"/>
        <v>, 121</v>
      </c>
      <c r="W164" s="8" t="str">
        <f t="shared" si="39"/>
        <v>, 65</v>
      </c>
      <c r="X164" s="8" t="str">
        <f t="shared" si="40"/>
        <v/>
      </c>
      <c r="Y164" s="8" t="str">
        <f t="shared" si="41"/>
        <v/>
      </c>
      <c r="Z164" s="8" t="str">
        <f t="shared" si="42"/>
        <v/>
      </c>
      <c r="AA164" s="8" t="str">
        <f t="shared" si="43"/>
        <v/>
      </c>
      <c r="AB164" s="8" t="str">
        <f t="shared" si="44"/>
        <v/>
      </c>
      <c r="AC164" s="5" t="str">
        <f t="shared" si="45"/>
        <v>,		// 160 - 'a acute'</v>
      </c>
      <c r="AD164" s="4"/>
      <c r="AE164" s="31" t="str">
        <f t="shared" si="46"/>
        <v>5, 32, 84, 84, 121, 65,		// 160 - 'a acute'</v>
      </c>
      <c r="AF164" s="4"/>
    </row>
    <row r="165" spans="1:32"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2"/>
        <v>3</v>
      </c>
      <c r="Q165" s="4">
        <f t="shared" si="33"/>
        <v>0</v>
      </c>
      <c r="R165" s="4">
        <f t="shared" si="34"/>
        <v>3</v>
      </c>
      <c r="S165" s="8" t="str">
        <f t="shared" si="35"/>
        <v>, 68</v>
      </c>
      <c r="T165" s="8" t="str">
        <f t="shared" si="36"/>
        <v>, 125</v>
      </c>
      <c r="U165" s="8" t="str">
        <f t="shared" si="37"/>
        <v>, 65</v>
      </c>
      <c r="V165" s="8" t="str">
        <f t="shared" si="38"/>
        <v/>
      </c>
      <c r="W165" s="8" t="str">
        <f t="shared" si="39"/>
        <v/>
      </c>
      <c r="X165" s="8" t="str">
        <f t="shared" si="40"/>
        <v/>
      </c>
      <c r="Y165" s="8" t="str">
        <f t="shared" si="41"/>
        <v/>
      </c>
      <c r="Z165" s="8" t="str">
        <f t="shared" si="42"/>
        <v/>
      </c>
      <c r="AA165" s="8" t="str">
        <f t="shared" si="43"/>
        <v/>
      </c>
      <c r="AB165" s="8" t="str">
        <f t="shared" si="44"/>
        <v/>
      </c>
      <c r="AC165" s="5" t="str">
        <f t="shared" si="45"/>
        <v>,		// 161 - 'i acute'</v>
      </c>
      <c r="AD165" s="4"/>
      <c r="AE165" s="31" t="str">
        <f t="shared" si="46"/>
        <v>3, 68, 125, 65,		// 161 - 'i acute'</v>
      </c>
      <c r="AF165" s="4"/>
    </row>
    <row r="166" spans="1:32"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2"/>
        <v>5</v>
      </c>
      <c r="Q166" s="4">
        <f t="shared" si="33"/>
        <v>0</v>
      </c>
      <c r="R166" s="4">
        <f t="shared" si="34"/>
        <v>5</v>
      </c>
      <c r="S166" s="8" t="str">
        <f t="shared" si="35"/>
        <v>, 48</v>
      </c>
      <c r="T166" s="8" t="str">
        <f t="shared" si="36"/>
        <v>, 72</v>
      </c>
      <c r="U166" s="8" t="str">
        <f t="shared" si="37"/>
        <v>, 72</v>
      </c>
      <c r="V166" s="8" t="str">
        <f t="shared" si="38"/>
        <v>, 74</v>
      </c>
      <c r="W166" s="8" t="str">
        <f t="shared" si="39"/>
        <v>, 50</v>
      </c>
      <c r="X166" s="8" t="str">
        <f t="shared" si="40"/>
        <v/>
      </c>
      <c r="Y166" s="8" t="str">
        <f t="shared" si="41"/>
        <v/>
      </c>
      <c r="Z166" s="8" t="str">
        <f t="shared" si="42"/>
        <v/>
      </c>
      <c r="AA166" s="8" t="str">
        <f t="shared" si="43"/>
        <v/>
      </c>
      <c r="AB166" s="8" t="str">
        <f t="shared" si="44"/>
        <v/>
      </c>
      <c r="AC166" s="5" t="str">
        <f t="shared" si="45"/>
        <v>,		// 162 - 'o acute'</v>
      </c>
      <c r="AD166" s="4"/>
      <c r="AE166" s="31" t="str">
        <f t="shared" si="46"/>
        <v>5, 48, 72, 72, 74, 50,		// 162 - 'o acute'</v>
      </c>
      <c r="AF166" s="4"/>
    </row>
    <row r="167" spans="1:32"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2"/>
        <v>5</v>
      </c>
      <c r="Q167" s="4">
        <f t="shared" si="33"/>
        <v>0</v>
      </c>
      <c r="R167" s="4">
        <f t="shared" si="34"/>
        <v>5</v>
      </c>
      <c r="S167" s="8" t="str">
        <f t="shared" si="35"/>
        <v>, 56</v>
      </c>
      <c r="T167" s="8" t="str">
        <f t="shared" si="36"/>
        <v>, 64</v>
      </c>
      <c r="U167" s="8" t="str">
        <f t="shared" si="37"/>
        <v>, 64</v>
      </c>
      <c r="V167" s="8" t="str">
        <f t="shared" si="38"/>
        <v>, 34</v>
      </c>
      <c r="W167" s="8" t="str">
        <f t="shared" si="39"/>
        <v>, 122</v>
      </c>
      <c r="X167" s="8" t="str">
        <f t="shared" si="40"/>
        <v/>
      </c>
      <c r="Y167" s="8" t="str">
        <f t="shared" si="41"/>
        <v/>
      </c>
      <c r="Z167" s="8" t="str">
        <f t="shared" si="42"/>
        <v/>
      </c>
      <c r="AA167" s="8" t="str">
        <f t="shared" si="43"/>
        <v/>
      </c>
      <c r="AB167" s="8" t="str">
        <f t="shared" si="44"/>
        <v/>
      </c>
      <c r="AC167" s="5" t="str">
        <f t="shared" si="45"/>
        <v>,		// 163 - 'u acute'</v>
      </c>
      <c r="AD167" s="4"/>
      <c r="AE167" s="31" t="str">
        <f t="shared" si="46"/>
        <v>5, 56, 64, 64, 34, 122,		// 163 - 'u acute'</v>
      </c>
      <c r="AF167" s="4"/>
    </row>
    <row r="168" spans="1:32"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2"/>
        <v>4</v>
      </c>
      <c r="Q168" s="4">
        <f t="shared" si="33"/>
        <v>0</v>
      </c>
      <c r="R168" s="4">
        <f t="shared" si="34"/>
        <v>4</v>
      </c>
      <c r="S168" s="8" t="str">
        <f t="shared" si="35"/>
        <v>, 122</v>
      </c>
      <c r="T168" s="8" t="str">
        <f t="shared" si="36"/>
        <v>, 10</v>
      </c>
      <c r="U168" s="8" t="str">
        <f t="shared" si="37"/>
        <v>, 10</v>
      </c>
      <c r="V168" s="8" t="str">
        <f t="shared" si="38"/>
        <v>, 114</v>
      </c>
      <c r="W168" s="8" t="str">
        <f t="shared" si="39"/>
        <v/>
      </c>
      <c r="X168" s="8" t="str">
        <f t="shared" si="40"/>
        <v/>
      </c>
      <c r="Y168" s="8" t="str">
        <f t="shared" si="41"/>
        <v/>
      </c>
      <c r="Z168" s="8" t="str">
        <f t="shared" si="42"/>
        <v/>
      </c>
      <c r="AA168" s="8" t="str">
        <f t="shared" si="43"/>
        <v/>
      </c>
      <c r="AB168" s="8" t="str">
        <f t="shared" si="44"/>
        <v/>
      </c>
      <c r="AC168" s="5" t="str">
        <f t="shared" si="45"/>
        <v>,		// 164 - 'n accent'</v>
      </c>
      <c r="AD168" s="4"/>
      <c r="AE168" s="31" t="str">
        <f t="shared" si="46"/>
        <v>4, 122, 10, 10, 114,		// 164 - 'n accent'</v>
      </c>
      <c r="AF168" s="4"/>
    </row>
    <row r="169" spans="1:32"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2"/>
        <v>5</v>
      </c>
      <c r="Q169" s="4">
        <f t="shared" si="33"/>
        <v>0</v>
      </c>
      <c r="R169" s="4">
        <f t="shared" si="34"/>
        <v>5</v>
      </c>
      <c r="S169" s="8" t="str">
        <f t="shared" si="35"/>
        <v>, 125</v>
      </c>
      <c r="T169" s="8" t="str">
        <f t="shared" si="36"/>
        <v>, 13</v>
      </c>
      <c r="U169" s="8" t="str">
        <f t="shared" si="37"/>
        <v>, 25</v>
      </c>
      <c r="V169" s="8" t="str">
        <f t="shared" si="38"/>
        <v>, 49</v>
      </c>
      <c r="W169" s="8" t="str">
        <f t="shared" si="39"/>
        <v>, 125</v>
      </c>
      <c r="X169" s="8" t="str">
        <f t="shared" si="40"/>
        <v/>
      </c>
      <c r="Y169" s="8" t="str">
        <f t="shared" si="41"/>
        <v/>
      </c>
      <c r="Z169" s="8" t="str">
        <f t="shared" si="42"/>
        <v/>
      </c>
      <c r="AA169" s="8" t="str">
        <f t="shared" si="43"/>
        <v/>
      </c>
      <c r="AB169" s="8" t="str">
        <f t="shared" si="44"/>
        <v/>
      </c>
      <c r="AC169" s="5" t="str">
        <f t="shared" si="45"/>
        <v>,		// 165 - 'N accent'</v>
      </c>
      <c r="AD169" s="4"/>
      <c r="AE169" s="31" t="str">
        <f t="shared" si="46"/>
        <v>5, 125, 13, 25, 49, 125,		// 165 - 'N accent'</v>
      </c>
      <c r="AF169" s="4"/>
    </row>
    <row r="170" spans="1:32" x14ac:dyDescent="0.25">
      <c r="A170" s="16">
        <v>166</v>
      </c>
      <c r="B170" s="20"/>
      <c r="C170" s="38"/>
      <c r="D170" s="42">
        <v>0</v>
      </c>
      <c r="E170" s="11">
        <v>38</v>
      </c>
      <c r="F170" s="11">
        <v>41</v>
      </c>
      <c r="G170" s="11">
        <v>41</v>
      </c>
      <c r="H170" s="11">
        <v>47</v>
      </c>
      <c r="I170" s="11">
        <v>40</v>
      </c>
      <c r="J170" s="11">
        <v>0</v>
      </c>
      <c r="K170" s="11">
        <v>0</v>
      </c>
      <c r="L170" s="11">
        <v>0</v>
      </c>
      <c r="M170" s="11">
        <v>0</v>
      </c>
      <c r="N170" s="12">
        <v>0</v>
      </c>
      <c r="O170" s="4"/>
      <c r="P170" s="4">
        <f t="shared" si="32"/>
        <v>5</v>
      </c>
      <c r="Q170" s="4">
        <f t="shared" si="33"/>
        <v>0</v>
      </c>
      <c r="R170" s="4">
        <f t="shared" si="34"/>
        <v>5</v>
      </c>
      <c r="S170" s="8" t="str">
        <f t="shared" si="35"/>
        <v>, 38</v>
      </c>
      <c r="T170" s="8" t="str">
        <f t="shared" si="36"/>
        <v>, 41</v>
      </c>
      <c r="U170" s="8" t="str">
        <f t="shared" si="37"/>
        <v>, 41</v>
      </c>
      <c r="V170" s="8" t="str">
        <f t="shared" si="38"/>
        <v>, 47</v>
      </c>
      <c r="W170" s="8" t="str">
        <f t="shared" si="39"/>
        <v>, 40</v>
      </c>
      <c r="X170" s="8" t="str">
        <f t="shared" si="40"/>
        <v/>
      </c>
      <c r="Y170" s="8" t="str">
        <f t="shared" si="41"/>
        <v/>
      </c>
      <c r="Z170" s="8" t="str">
        <f t="shared" si="42"/>
        <v/>
      </c>
      <c r="AA170" s="8" t="str">
        <f t="shared" si="43"/>
        <v/>
      </c>
      <c r="AB170" s="8" t="str">
        <f t="shared" si="44"/>
        <v/>
      </c>
      <c r="AC170" s="5" t="str">
        <f t="shared" si="45"/>
        <v>,		// 166</v>
      </c>
      <c r="AD170" s="4"/>
      <c r="AE170" s="31" t="str">
        <f t="shared" si="46"/>
        <v>5, 38, 41, 41, 47, 40,		// 166</v>
      </c>
      <c r="AF170" s="4"/>
    </row>
    <row r="171" spans="1:32" x14ac:dyDescent="0.25">
      <c r="A171" s="16">
        <v>167</v>
      </c>
      <c r="B171" s="20"/>
      <c r="C171" s="38"/>
      <c r="D171" s="42">
        <v>0</v>
      </c>
      <c r="E171" s="11">
        <v>38</v>
      </c>
      <c r="F171" s="11">
        <v>41</v>
      </c>
      <c r="G171" s="11">
        <v>41</v>
      </c>
      <c r="H171" s="11">
        <v>41</v>
      </c>
      <c r="I171" s="11">
        <v>38</v>
      </c>
      <c r="J171" s="11">
        <v>0</v>
      </c>
      <c r="K171" s="11">
        <v>0</v>
      </c>
      <c r="L171" s="11">
        <v>0</v>
      </c>
      <c r="M171" s="11">
        <v>0</v>
      </c>
      <c r="N171" s="12">
        <v>0</v>
      </c>
      <c r="O171" s="4"/>
      <c r="P171" s="4">
        <f t="shared" si="32"/>
        <v>5</v>
      </c>
      <c r="Q171" s="4">
        <f t="shared" si="33"/>
        <v>0</v>
      </c>
      <c r="R171" s="4">
        <f t="shared" si="34"/>
        <v>5</v>
      </c>
      <c r="S171" s="8" t="str">
        <f t="shared" si="35"/>
        <v>, 38</v>
      </c>
      <c r="T171" s="8" t="str">
        <f t="shared" si="36"/>
        <v>, 41</v>
      </c>
      <c r="U171" s="8" t="str">
        <f t="shared" si="37"/>
        <v>, 41</v>
      </c>
      <c r="V171" s="8" t="str">
        <f t="shared" si="38"/>
        <v>, 41</v>
      </c>
      <c r="W171" s="8" t="str">
        <f t="shared" si="39"/>
        <v>, 38</v>
      </c>
      <c r="X171" s="8" t="str">
        <f t="shared" si="40"/>
        <v/>
      </c>
      <c r="Y171" s="8" t="str">
        <f t="shared" si="41"/>
        <v/>
      </c>
      <c r="Z171" s="8" t="str">
        <f t="shared" si="42"/>
        <v/>
      </c>
      <c r="AA171" s="8" t="str">
        <f t="shared" si="43"/>
        <v/>
      </c>
      <c r="AB171" s="8" t="str">
        <f t="shared" si="44"/>
        <v/>
      </c>
      <c r="AC171" s="5" t="str">
        <f t="shared" si="45"/>
        <v>,		// 167</v>
      </c>
      <c r="AD171" s="4"/>
      <c r="AE171" s="31" t="str">
        <f t="shared" si="46"/>
        <v>5, 38, 41, 41, 41, 38,		// 167</v>
      </c>
      <c r="AF171" s="4"/>
    </row>
    <row r="172" spans="1:32"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2"/>
        <v>5</v>
      </c>
      <c r="Q172" s="4">
        <f t="shared" si="33"/>
        <v>0</v>
      </c>
      <c r="R172" s="4">
        <f t="shared" si="34"/>
        <v>5</v>
      </c>
      <c r="S172" s="8" t="str">
        <f t="shared" si="35"/>
        <v>, 48</v>
      </c>
      <c r="T172" s="8" t="str">
        <f t="shared" si="36"/>
        <v>, 72</v>
      </c>
      <c r="U172" s="8" t="str">
        <f t="shared" si="37"/>
        <v>, 77</v>
      </c>
      <c r="V172" s="8" t="str">
        <f t="shared" si="38"/>
        <v>, 64</v>
      </c>
      <c r="W172" s="8" t="str">
        <f t="shared" si="39"/>
        <v>, 32</v>
      </c>
      <c r="X172" s="8" t="str">
        <f t="shared" si="40"/>
        <v/>
      </c>
      <c r="Y172" s="8" t="str">
        <f t="shared" si="41"/>
        <v/>
      </c>
      <c r="Z172" s="8" t="str">
        <f t="shared" si="42"/>
        <v/>
      </c>
      <c r="AA172" s="8" t="str">
        <f t="shared" si="43"/>
        <v/>
      </c>
      <c r="AB172" s="8" t="str">
        <f t="shared" si="44"/>
        <v/>
      </c>
      <c r="AC172" s="5" t="str">
        <f t="shared" si="45"/>
        <v>,		// 168 - 'Inverted ?'</v>
      </c>
      <c r="AD172" s="4"/>
      <c r="AE172" s="31" t="str">
        <f t="shared" si="46"/>
        <v>5, 48, 72, 77, 64, 32,		// 168 - 'Inverted ?'</v>
      </c>
      <c r="AF172" s="4"/>
    </row>
    <row r="173" spans="1:32"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32"/>
        <v>5</v>
      </c>
      <c r="Q173" s="4">
        <f t="shared" si="33"/>
        <v>0</v>
      </c>
      <c r="R173" s="4">
        <f t="shared" si="34"/>
        <v>5</v>
      </c>
      <c r="S173" s="8" t="str">
        <f t="shared" si="35"/>
        <v>, 56</v>
      </c>
      <c r="T173" s="8" t="str">
        <f t="shared" si="36"/>
        <v>, 8</v>
      </c>
      <c r="U173" s="8" t="str">
        <f t="shared" si="37"/>
        <v>, 8</v>
      </c>
      <c r="V173" s="8" t="str">
        <f t="shared" si="38"/>
        <v>, 8</v>
      </c>
      <c r="W173" s="8" t="str">
        <f t="shared" si="39"/>
        <v>, 8</v>
      </c>
      <c r="X173" s="8" t="str">
        <f t="shared" si="40"/>
        <v/>
      </c>
      <c r="Y173" s="8" t="str">
        <f t="shared" si="41"/>
        <v/>
      </c>
      <c r="Z173" s="8" t="str">
        <f t="shared" si="42"/>
        <v/>
      </c>
      <c r="AA173" s="8" t="str">
        <f t="shared" si="43"/>
        <v/>
      </c>
      <c r="AB173" s="8" t="str">
        <f t="shared" si="44"/>
        <v/>
      </c>
      <c r="AC173" s="5" t="str">
        <f t="shared" si="45"/>
        <v>,		// 169</v>
      </c>
      <c r="AD173" s="4"/>
      <c r="AE173" s="31" t="str">
        <f t="shared" si="46"/>
        <v>5, 56, 8, 8, 8, 8,		// 169</v>
      </c>
      <c r="AF173" s="4"/>
    </row>
    <row r="174" spans="1:32"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32"/>
        <v>5</v>
      </c>
      <c r="Q174" s="4">
        <f t="shared" si="33"/>
        <v>0</v>
      </c>
      <c r="R174" s="4">
        <f t="shared" si="34"/>
        <v>5</v>
      </c>
      <c r="S174" s="8" t="str">
        <f t="shared" si="35"/>
        <v>, 8</v>
      </c>
      <c r="T174" s="8" t="str">
        <f t="shared" si="36"/>
        <v>, 8</v>
      </c>
      <c r="U174" s="8" t="str">
        <f t="shared" si="37"/>
        <v>, 8</v>
      </c>
      <c r="V174" s="8" t="str">
        <f t="shared" si="38"/>
        <v>, 8</v>
      </c>
      <c r="W174" s="8" t="str">
        <f t="shared" si="39"/>
        <v>, 56</v>
      </c>
      <c r="X174" s="8" t="str">
        <f t="shared" si="40"/>
        <v/>
      </c>
      <c r="Y174" s="8" t="str">
        <f t="shared" si="41"/>
        <v/>
      </c>
      <c r="Z174" s="8" t="str">
        <f t="shared" si="42"/>
        <v/>
      </c>
      <c r="AA174" s="8" t="str">
        <f t="shared" si="43"/>
        <v/>
      </c>
      <c r="AB174" s="8" t="str">
        <f t="shared" si="44"/>
        <v/>
      </c>
      <c r="AC174" s="5" t="str">
        <f t="shared" si="45"/>
        <v>,		// 170</v>
      </c>
      <c r="AD174" s="4"/>
      <c r="AE174" s="31" t="str">
        <f t="shared" si="46"/>
        <v>5, 8, 8, 8, 8, 56,		// 170</v>
      </c>
      <c r="AF174" s="4"/>
    </row>
    <row r="175" spans="1:32"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2"/>
        <v>5</v>
      </c>
      <c r="Q175" s="4">
        <f t="shared" si="33"/>
        <v>0</v>
      </c>
      <c r="R175" s="4">
        <f t="shared" si="34"/>
        <v>5</v>
      </c>
      <c r="S175" s="8" t="str">
        <f t="shared" si="35"/>
        <v>, 47</v>
      </c>
      <c r="T175" s="8" t="str">
        <f t="shared" si="36"/>
        <v>, 16</v>
      </c>
      <c r="U175" s="8" t="str">
        <f t="shared" si="37"/>
        <v>, 200</v>
      </c>
      <c r="V175" s="8" t="str">
        <f t="shared" si="38"/>
        <v>, 172</v>
      </c>
      <c r="W175" s="8" t="str">
        <f t="shared" si="39"/>
        <v>, 186</v>
      </c>
      <c r="X175" s="8" t="str">
        <f t="shared" si="40"/>
        <v/>
      </c>
      <c r="Y175" s="8" t="str">
        <f t="shared" si="41"/>
        <v/>
      </c>
      <c r="Z175" s="8" t="str">
        <f t="shared" si="42"/>
        <v/>
      </c>
      <c r="AA175" s="8" t="str">
        <f t="shared" si="43"/>
        <v/>
      </c>
      <c r="AB175" s="8" t="str">
        <f t="shared" si="44"/>
        <v/>
      </c>
      <c r="AC175" s="5" t="str">
        <f t="shared" si="45"/>
        <v>,		// 171 - '1/2'</v>
      </c>
      <c r="AD175" s="4"/>
      <c r="AE175" s="31" t="str">
        <f t="shared" si="46"/>
        <v>5, 47, 16, 200, 172, 186,		// 171 - '1/2'</v>
      </c>
      <c r="AF175" s="4"/>
    </row>
    <row r="176" spans="1:32"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2"/>
        <v>5</v>
      </c>
      <c r="Q176" s="4">
        <f t="shared" si="33"/>
        <v>0</v>
      </c>
      <c r="R176" s="4">
        <f t="shared" si="34"/>
        <v>5</v>
      </c>
      <c r="S176" s="8" t="str">
        <f t="shared" si="35"/>
        <v>, 47</v>
      </c>
      <c r="T176" s="8" t="str">
        <f t="shared" si="36"/>
        <v>, 16</v>
      </c>
      <c r="U176" s="8" t="str">
        <f t="shared" si="37"/>
        <v>, 40</v>
      </c>
      <c r="V176" s="8" t="str">
        <f t="shared" si="38"/>
        <v>, 52</v>
      </c>
      <c r="W176" s="8" t="str">
        <f t="shared" si="39"/>
        <v>, 250</v>
      </c>
      <c r="X176" s="8" t="str">
        <f t="shared" si="40"/>
        <v/>
      </c>
      <c r="Y176" s="8" t="str">
        <f t="shared" si="41"/>
        <v/>
      </c>
      <c r="Z176" s="8" t="str">
        <f t="shared" si="42"/>
        <v/>
      </c>
      <c r="AA176" s="8" t="str">
        <f t="shared" si="43"/>
        <v/>
      </c>
      <c r="AB176" s="8" t="str">
        <f t="shared" si="44"/>
        <v/>
      </c>
      <c r="AC176" s="5" t="str">
        <f t="shared" si="45"/>
        <v>,		// 172 - '1/4'</v>
      </c>
      <c r="AD176" s="4"/>
      <c r="AE176" s="31" t="str">
        <f t="shared" si="46"/>
        <v>5, 47, 16, 40, 52, 250,		// 172 - '1/4'</v>
      </c>
      <c r="AF176" s="4"/>
    </row>
    <row r="177" spans="1:32"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2"/>
        <v>1</v>
      </c>
      <c r="Q177" s="4">
        <f t="shared" si="33"/>
        <v>0</v>
      </c>
      <c r="R177" s="4">
        <f t="shared" si="34"/>
        <v>1</v>
      </c>
      <c r="S177" s="8" t="str">
        <f t="shared" si="35"/>
        <v>, 123</v>
      </c>
      <c r="T177" s="8" t="str">
        <f t="shared" si="36"/>
        <v/>
      </c>
      <c r="U177" s="8" t="str">
        <f t="shared" si="37"/>
        <v/>
      </c>
      <c r="V177" s="8" t="str">
        <f t="shared" si="38"/>
        <v/>
      </c>
      <c r="W177" s="8" t="str">
        <f t="shared" si="39"/>
        <v/>
      </c>
      <c r="X177" s="8" t="str">
        <f t="shared" si="40"/>
        <v/>
      </c>
      <c r="Y177" s="8" t="str">
        <f t="shared" si="41"/>
        <v/>
      </c>
      <c r="Z177" s="8" t="str">
        <f t="shared" si="42"/>
        <v/>
      </c>
      <c r="AA177" s="8" t="str">
        <f t="shared" si="43"/>
        <v/>
      </c>
      <c r="AB177" s="8" t="str">
        <f t="shared" si="44"/>
        <v/>
      </c>
      <c r="AC177" s="5" t="str">
        <f t="shared" si="45"/>
        <v>,		// 173 - '| split'</v>
      </c>
      <c r="AD177" s="4"/>
      <c r="AE177" s="31" t="str">
        <f t="shared" si="46"/>
        <v>1, 123,		// 173 - '| split'</v>
      </c>
      <c r="AF177" s="4"/>
    </row>
    <row r="178" spans="1:32"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2"/>
        <v>5</v>
      </c>
      <c r="Q178" s="4">
        <f t="shared" si="33"/>
        <v>0</v>
      </c>
      <c r="R178" s="4">
        <f t="shared" si="34"/>
        <v>5</v>
      </c>
      <c r="S178" s="8" t="str">
        <f t="shared" si="35"/>
        <v>, 8</v>
      </c>
      <c r="T178" s="8" t="str">
        <f t="shared" si="36"/>
        <v>, 20</v>
      </c>
      <c r="U178" s="8" t="str">
        <f t="shared" si="37"/>
        <v>, 42</v>
      </c>
      <c r="V178" s="8" t="str">
        <f t="shared" si="38"/>
        <v>, 20</v>
      </c>
      <c r="W178" s="8" t="str">
        <f t="shared" si="39"/>
        <v>, 34</v>
      </c>
      <c r="X178" s="8" t="str">
        <f t="shared" si="40"/>
        <v/>
      </c>
      <c r="Y178" s="8" t="str">
        <f t="shared" si="41"/>
        <v/>
      </c>
      <c r="Z178" s="8" t="str">
        <f t="shared" si="42"/>
        <v/>
      </c>
      <c r="AA178" s="8" t="str">
        <f t="shared" si="43"/>
        <v/>
      </c>
      <c r="AB178" s="8" t="str">
        <f t="shared" si="44"/>
        <v/>
      </c>
      <c r="AC178" s="5" t="str">
        <f t="shared" si="45"/>
        <v>,		// 174 - '&lt;&lt;'</v>
      </c>
      <c r="AD178" s="4"/>
      <c r="AE178" s="31" t="str">
        <f t="shared" si="46"/>
        <v>5, 8, 20, 42, 20, 34,		// 174 - '&lt;&lt;'</v>
      </c>
      <c r="AF178" s="4"/>
    </row>
    <row r="179" spans="1:32"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2"/>
        <v>5</v>
      </c>
      <c r="Q179" s="4">
        <f t="shared" si="33"/>
        <v>0</v>
      </c>
      <c r="R179" s="4">
        <f t="shared" si="34"/>
        <v>5</v>
      </c>
      <c r="S179" s="8" t="str">
        <f t="shared" si="35"/>
        <v>, 34</v>
      </c>
      <c r="T179" s="8" t="str">
        <f t="shared" si="36"/>
        <v>, 20</v>
      </c>
      <c r="U179" s="8" t="str">
        <f t="shared" si="37"/>
        <v>, 42</v>
      </c>
      <c r="V179" s="8" t="str">
        <f t="shared" si="38"/>
        <v>, 20</v>
      </c>
      <c r="W179" s="8" t="str">
        <f t="shared" si="39"/>
        <v>, 8</v>
      </c>
      <c r="X179" s="8" t="str">
        <f t="shared" si="40"/>
        <v/>
      </c>
      <c r="Y179" s="8" t="str">
        <f t="shared" si="41"/>
        <v/>
      </c>
      <c r="Z179" s="8" t="str">
        <f t="shared" si="42"/>
        <v/>
      </c>
      <c r="AA179" s="8" t="str">
        <f t="shared" si="43"/>
        <v/>
      </c>
      <c r="AB179" s="8" t="str">
        <f t="shared" si="44"/>
        <v/>
      </c>
      <c r="AC179" s="5" t="str">
        <f t="shared" si="45"/>
        <v>,		// 175 - '&gt;&gt;'</v>
      </c>
      <c r="AD179" s="4"/>
      <c r="AE179" s="31" t="str">
        <f t="shared" si="46"/>
        <v>5, 34, 20, 42, 20, 8,		// 175 - '&gt;&gt;'</v>
      </c>
      <c r="AF179" s="4"/>
    </row>
    <row r="180" spans="1:32"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2"/>
        <v>5</v>
      </c>
      <c r="Q180" s="4">
        <f t="shared" si="33"/>
        <v>0</v>
      </c>
      <c r="R180" s="4">
        <f t="shared" si="34"/>
        <v>5</v>
      </c>
      <c r="S180" s="8" t="str">
        <f t="shared" si="35"/>
        <v>, 170</v>
      </c>
      <c r="T180" s="8" t="str">
        <f t="shared" si="36"/>
        <v>, 0</v>
      </c>
      <c r="U180" s="8" t="str">
        <f t="shared" si="37"/>
        <v>, 85</v>
      </c>
      <c r="V180" s="8" t="str">
        <f t="shared" si="38"/>
        <v>, 0</v>
      </c>
      <c r="W180" s="8" t="str">
        <f t="shared" si="39"/>
        <v>, 170</v>
      </c>
      <c r="X180" s="8" t="str">
        <f t="shared" si="40"/>
        <v/>
      </c>
      <c r="Y180" s="8" t="str">
        <f t="shared" si="41"/>
        <v/>
      </c>
      <c r="Z180" s="8" t="str">
        <f t="shared" si="42"/>
        <v/>
      </c>
      <c r="AA180" s="8" t="str">
        <f t="shared" si="43"/>
        <v/>
      </c>
      <c r="AB180" s="8" t="str">
        <f t="shared" si="44"/>
        <v/>
      </c>
      <c r="AC180" s="5" t="str">
        <f t="shared" si="45"/>
        <v>,		// 176 - '30% shading'</v>
      </c>
      <c r="AD180" s="4"/>
      <c r="AE180" s="31" t="str">
        <f t="shared" si="46"/>
        <v>5, 170, 0, 85, 0, 170,		// 176 - '30% shading'</v>
      </c>
      <c r="AF180" s="4"/>
    </row>
    <row r="181" spans="1:32"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2"/>
        <v>5</v>
      </c>
      <c r="Q181" s="4">
        <f t="shared" si="33"/>
        <v>0</v>
      </c>
      <c r="R181" s="4">
        <f t="shared" si="34"/>
        <v>5</v>
      </c>
      <c r="S181" s="8" t="str">
        <f t="shared" si="35"/>
        <v>, 170</v>
      </c>
      <c r="T181" s="8" t="str">
        <f t="shared" si="36"/>
        <v>, 85</v>
      </c>
      <c r="U181" s="8" t="str">
        <f t="shared" si="37"/>
        <v>, 170</v>
      </c>
      <c r="V181" s="8" t="str">
        <f t="shared" si="38"/>
        <v>, 85</v>
      </c>
      <c r="W181" s="8" t="str">
        <f t="shared" si="39"/>
        <v>, 170</v>
      </c>
      <c r="X181" s="8" t="str">
        <f t="shared" si="40"/>
        <v/>
      </c>
      <c r="Y181" s="8" t="str">
        <f t="shared" si="41"/>
        <v/>
      </c>
      <c r="Z181" s="8" t="str">
        <f t="shared" si="42"/>
        <v/>
      </c>
      <c r="AA181" s="8" t="str">
        <f t="shared" si="43"/>
        <v/>
      </c>
      <c r="AB181" s="8" t="str">
        <f t="shared" si="44"/>
        <v/>
      </c>
      <c r="AC181" s="5" t="str">
        <f t="shared" si="45"/>
        <v>,		// 177 - '50% shading'</v>
      </c>
      <c r="AD181" s="4"/>
      <c r="AE181" s="31" t="str">
        <f t="shared" si="46"/>
        <v>5, 170, 85, 170, 85, 170,		// 177 - '50% shading'</v>
      </c>
      <c r="AF181" s="4"/>
    </row>
    <row r="182" spans="1:32" x14ac:dyDescent="0.25">
      <c r="A182" s="16">
        <v>178</v>
      </c>
      <c r="B182" s="20"/>
      <c r="C182" s="38" t="s">
        <v>177</v>
      </c>
      <c r="D182" s="42">
        <v>0</v>
      </c>
      <c r="E182" s="11">
        <v>0</v>
      </c>
      <c r="F182" s="11">
        <v>0</v>
      </c>
      <c r="G182" s="11">
        <v>0</v>
      </c>
      <c r="H182" s="11">
        <v>0</v>
      </c>
      <c r="I182" s="11">
        <v>255</v>
      </c>
      <c r="J182" s="11">
        <v>0</v>
      </c>
      <c r="K182" s="11">
        <v>0</v>
      </c>
      <c r="L182" s="11">
        <v>0</v>
      </c>
      <c r="M182" s="11">
        <v>0</v>
      </c>
      <c r="N182" s="12">
        <v>0</v>
      </c>
      <c r="O182" s="4"/>
      <c r="P182" s="4">
        <f t="shared" si="32"/>
        <v>5</v>
      </c>
      <c r="Q182" s="4">
        <f t="shared" si="33"/>
        <v>0</v>
      </c>
      <c r="R182" s="4">
        <f t="shared" si="34"/>
        <v>5</v>
      </c>
      <c r="S182" s="8" t="str">
        <f t="shared" si="35"/>
        <v>, 0</v>
      </c>
      <c r="T182" s="8" t="str">
        <f t="shared" si="36"/>
        <v>, 0</v>
      </c>
      <c r="U182" s="8" t="str">
        <f t="shared" si="37"/>
        <v>, 0</v>
      </c>
      <c r="V182" s="8" t="str">
        <f t="shared" si="38"/>
        <v>, 0</v>
      </c>
      <c r="W182" s="8" t="str">
        <f t="shared" si="39"/>
        <v>, 255</v>
      </c>
      <c r="X182" s="8" t="str">
        <f t="shared" si="40"/>
        <v/>
      </c>
      <c r="Y182" s="8" t="str">
        <f t="shared" si="41"/>
        <v/>
      </c>
      <c r="Z182" s="8" t="str">
        <f t="shared" si="42"/>
        <v/>
      </c>
      <c r="AA182" s="8" t="str">
        <f t="shared" si="43"/>
        <v/>
      </c>
      <c r="AB182" s="8" t="str">
        <f t="shared" si="44"/>
        <v/>
      </c>
      <c r="AC182" s="5" t="str">
        <f t="shared" si="45"/>
        <v>,		// 178 - 'Right side'</v>
      </c>
      <c r="AD182" s="4"/>
      <c r="AE182" s="31" t="str">
        <f t="shared" si="46"/>
        <v>5, 0, 0, 0, 0, 255,		// 178 - 'Right side'</v>
      </c>
      <c r="AF182" s="4"/>
    </row>
    <row r="183" spans="1:32" x14ac:dyDescent="0.25">
      <c r="A183" s="16">
        <v>179</v>
      </c>
      <c r="B183" s="20"/>
      <c r="C183" s="38" t="s">
        <v>178</v>
      </c>
      <c r="D183" s="42">
        <v>0</v>
      </c>
      <c r="E183" s="11">
        <v>16</v>
      </c>
      <c r="F183" s="11">
        <v>16</v>
      </c>
      <c r="G183" s="11">
        <v>16</v>
      </c>
      <c r="H183" s="11">
        <v>16</v>
      </c>
      <c r="I183" s="11">
        <v>255</v>
      </c>
      <c r="J183" s="11">
        <v>0</v>
      </c>
      <c r="K183" s="11">
        <v>0</v>
      </c>
      <c r="L183" s="11">
        <v>0</v>
      </c>
      <c r="M183" s="11">
        <v>0</v>
      </c>
      <c r="N183" s="12">
        <v>0</v>
      </c>
      <c r="O183" s="4"/>
      <c r="P183" s="4">
        <f t="shared" si="32"/>
        <v>5</v>
      </c>
      <c r="Q183" s="4">
        <f t="shared" si="33"/>
        <v>0</v>
      </c>
      <c r="R183" s="4">
        <f t="shared" si="34"/>
        <v>5</v>
      </c>
      <c r="S183" s="8" t="str">
        <f t="shared" si="35"/>
        <v>, 16</v>
      </c>
      <c r="T183" s="8" t="str">
        <f t="shared" si="36"/>
        <v>, 16</v>
      </c>
      <c r="U183" s="8" t="str">
        <f t="shared" si="37"/>
        <v>, 16</v>
      </c>
      <c r="V183" s="8" t="str">
        <f t="shared" si="38"/>
        <v>, 16</v>
      </c>
      <c r="W183" s="8" t="str">
        <f t="shared" si="39"/>
        <v>, 255</v>
      </c>
      <c r="X183" s="8" t="str">
        <f t="shared" si="40"/>
        <v/>
      </c>
      <c r="Y183" s="8" t="str">
        <f t="shared" si="41"/>
        <v/>
      </c>
      <c r="Z183" s="8" t="str">
        <f t="shared" si="42"/>
        <v/>
      </c>
      <c r="AA183" s="8" t="str">
        <f t="shared" si="43"/>
        <v/>
      </c>
      <c r="AB183" s="8" t="str">
        <f t="shared" si="44"/>
        <v/>
      </c>
      <c r="AC183" s="5" t="str">
        <f t="shared" si="45"/>
        <v>,		// 179 - 'Right T'</v>
      </c>
      <c r="AD183" s="4"/>
      <c r="AE183" s="31" t="str">
        <f t="shared" si="46"/>
        <v>5, 16, 16, 16, 16, 255,		// 179 - 'Right T'</v>
      </c>
      <c r="AF183" s="4"/>
    </row>
    <row r="184" spans="1:32" x14ac:dyDescent="0.25">
      <c r="A184" s="16">
        <v>180</v>
      </c>
      <c r="B184" s="20"/>
      <c r="C184" s="38" t="s">
        <v>179</v>
      </c>
      <c r="D184" s="42">
        <v>0</v>
      </c>
      <c r="E184" s="11">
        <v>20</v>
      </c>
      <c r="F184" s="11">
        <v>20</v>
      </c>
      <c r="G184" s="11">
        <v>20</v>
      </c>
      <c r="H184" s="11">
        <v>20</v>
      </c>
      <c r="I184" s="11">
        <v>255</v>
      </c>
      <c r="J184" s="11">
        <v>0</v>
      </c>
      <c r="K184" s="11">
        <v>0</v>
      </c>
      <c r="L184" s="11">
        <v>0</v>
      </c>
      <c r="M184" s="11">
        <v>0</v>
      </c>
      <c r="N184" s="12">
        <v>0</v>
      </c>
      <c r="O184" s="4"/>
      <c r="P184" s="4">
        <f t="shared" si="32"/>
        <v>5</v>
      </c>
      <c r="Q184" s="4">
        <f t="shared" si="33"/>
        <v>0</v>
      </c>
      <c r="R184" s="4">
        <f t="shared" si="34"/>
        <v>5</v>
      </c>
      <c r="S184" s="8" t="str">
        <f t="shared" si="35"/>
        <v>, 20</v>
      </c>
      <c r="T184" s="8" t="str">
        <f t="shared" si="36"/>
        <v>, 20</v>
      </c>
      <c r="U184" s="8" t="str">
        <f t="shared" si="37"/>
        <v>, 20</v>
      </c>
      <c r="V184" s="8" t="str">
        <f t="shared" si="38"/>
        <v>, 20</v>
      </c>
      <c r="W184" s="8" t="str">
        <f t="shared" si="39"/>
        <v>, 255</v>
      </c>
      <c r="X184" s="8" t="str">
        <f t="shared" si="40"/>
        <v/>
      </c>
      <c r="Y184" s="8" t="str">
        <f t="shared" si="41"/>
        <v/>
      </c>
      <c r="Z184" s="8" t="str">
        <f t="shared" si="42"/>
        <v/>
      </c>
      <c r="AA184" s="8" t="str">
        <f t="shared" si="43"/>
        <v/>
      </c>
      <c r="AB184" s="8" t="str">
        <f t="shared" si="44"/>
        <v/>
      </c>
      <c r="AC184" s="5" t="str">
        <f t="shared" si="45"/>
        <v>,		// 180 - 'Right T double H'</v>
      </c>
      <c r="AD184" s="4"/>
      <c r="AE184" s="31" t="str">
        <f t="shared" si="46"/>
        <v>5, 20, 20, 20, 20, 255,		// 180 - 'Right T double H'</v>
      </c>
      <c r="AF184" s="4"/>
    </row>
    <row r="185" spans="1:32" x14ac:dyDescent="0.25">
      <c r="A185" s="16">
        <v>181</v>
      </c>
      <c r="B185" s="20"/>
      <c r="C185" s="38" t="s">
        <v>180</v>
      </c>
      <c r="D185" s="42">
        <v>0</v>
      </c>
      <c r="E185" s="11">
        <v>16</v>
      </c>
      <c r="F185" s="11">
        <v>16</v>
      </c>
      <c r="G185" s="11">
        <v>255</v>
      </c>
      <c r="H185" s="11">
        <v>0</v>
      </c>
      <c r="I185" s="11">
        <v>255</v>
      </c>
      <c r="J185" s="11">
        <v>0</v>
      </c>
      <c r="K185" s="11">
        <v>0</v>
      </c>
      <c r="L185" s="11">
        <v>0</v>
      </c>
      <c r="M185" s="11">
        <v>0</v>
      </c>
      <c r="N185" s="12">
        <v>0</v>
      </c>
      <c r="O185" s="4"/>
      <c r="P185" s="4">
        <f t="shared" si="32"/>
        <v>5</v>
      </c>
      <c r="Q185" s="4">
        <f t="shared" si="33"/>
        <v>0</v>
      </c>
      <c r="R185" s="4">
        <f t="shared" si="34"/>
        <v>5</v>
      </c>
      <c r="S185" s="8" t="str">
        <f t="shared" si="35"/>
        <v>, 16</v>
      </c>
      <c r="T185" s="8" t="str">
        <f t="shared" si="36"/>
        <v>, 16</v>
      </c>
      <c r="U185" s="8" t="str">
        <f t="shared" si="37"/>
        <v>, 255</v>
      </c>
      <c r="V185" s="8" t="str">
        <f t="shared" si="38"/>
        <v>, 0</v>
      </c>
      <c r="W185" s="8" t="str">
        <f t="shared" si="39"/>
        <v>, 255</v>
      </c>
      <c r="X185" s="8" t="str">
        <f t="shared" si="40"/>
        <v/>
      </c>
      <c r="Y185" s="8" t="str">
        <f t="shared" si="41"/>
        <v/>
      </c>
      <c r="Z185" s="8" t="str">
        <f t="shared" si="42"/>
        <v/>
      </c>
      <c r="AA185" s="8" t="str">
        <f t="shared" si="43"/>
        <v/>
      </c>
      <c r="AB185" s="8" t="str">
        <f t="shared" si="44"/>
        <v/>
      </c>
      <c r="AC185" s="5" t="str">
        <f t="shared" si="45"/>
        <v>,		// 181 - 'Right T double V'</v>
      </c>
      <c r="AD185" s="4"/>
      <c r="AE185" s="31" t="str">
        <f t="shared" si="46"/>
        <v>5, 16, 16, 255, 0, 255,		// 181 - 'Right T double V'</v>
      </c>
      <c r="AF185" s="4"/>
    </row>
    <row r="186" spans="1:32" x14ac:dyDescent="0.25">
      <c r="A186" s="16">
        <v>182</v>
      </c>
      <c r="B186" s="20"/>
      <c r="C186" s="38" t="s">
        <v>181</v>
      </c>
      <c r="D186" s="42">
        <v>0</v>
      </c>
      <c r="E186" s="11">
        <v>16</v>
      </c>
      <c r="F186" s="11">
        <v>16</v>
      </c>
      <c r="G186" s="11">
        <v>240</v>
      </c>
      <c r="H186" s="11">
        <v>16</v>
      </c>
      <c r="I186" s="11">
        <v>240</v>
      </c>
      <c r="J186" s="11">
        <v>0</v>
      </c>
      <c r="K186" s="11">
        <v>0</v>
      </c>
      <c r="L186" s="11">
        <v>0</v>
      </c>
      <c r="M186" s="11">
        <v>0</v>
      </c>
      <c r="N186" s="12">
        <v>0</v>
      </c>
      <c r="O186" s="4"/>
      <c r="P186" s="4">
        <f t="shared" si="32"/>
        <v>5</v>
      </c>
      <c r="Q186" s="4">
        <f t="shared" si="33"/>
        <v>0</v>
      </c>
      <c r="R186" s="4">
        <f t="shared" si="34"/>
        <v>5</v>
      </c>
      <c r="S186" s="8" t="str">
        <f t="shared" si="35"/>
        <v>, 16</v>
      </c>
      <c r="T186" s="8" t="str">
        <f t="shared" si="36"/>
        <v>, 16</v>
      </c>
      <c r="U186" s="8" t="str">
        <f t="shared" si="37"/>
        <v>, 240</v>
      </c>
      <c r="V186" s="8" t="str">
        <f t="shared" si="38"/>
        <v>, 16</v>
      </c>
      <c r="W186" s="8" t="str">
        <f t="shared" si="39"/>
        <v>, 240</v>
      </c>
      <c r="X186" s="8" t="str">
        <f t="shared" si="40"/>
        <v/>
      </c>
      <c r="Y186" s="8" t="str">
        <f t="shared" si="41"/>
        <v/>
      </c>
      <c r="Z186" s="8" t="str">
        <f t="shared" si="42"/>
        <v/>
      </c>
      <c r="AA186" s="8" t="str">
        <f t="shared" si="43"/>
        <v/>
      </c>
      <c r="AB186" s="8" t="str">
        <f t="shared" si="44"/>
        <v/>
      </c>
      <c r="AC186" s="5" t="str">
        <f t="shared" si="45"/>
        <v>,		// 182 - 'Top Right double V'</v>
      </c>
      <c r="AD186" s="4"/>
      <c r="AE186" s="31" t="str">
        <f t="shared" si="46"/>
        <v>5, 16, 16, 240, 16, 240,		// 182 - 'Top Right double V'</v>
      </c>
      <c r="AF186" s="4"/>
    </row>
    <row r="187" spans="1:32" x14ac:dyDescent="0.25">
      <c r="A187" s="16">
        <v>183</v>
      </c>
      <c r="B187" s="20"/>
      <c r="C187" s="38" t="s">
        <v>182</v>
      </c>
      <c r="D187" s="42">
        <v>0</v>
      </c>
      <c r="E187" s="11">
        <v>20</v>
      </c>
      <c r="F187" s="11">
        <v>20</v>
      </c>
      <c r="G187" s="11">
        <v>20</v>
      </c>
      <c r="H187" s="11">
        <v>20</v>
      </c>
      <c r="I187" s="11">
        <v>252</v>
      </c>
      <c r="J187" s="11">
        <v>0</v>
      </c>
      <c r="K187" s="11">
        <v>0</v>
      </c>
      <c r="L187" s="11">
        <v>0</v>
      </c>
      <c r="M187" s="11">
        <v>0</v>
      </c>
      <c r="N187" s="12">
        <v>0</v>
      </c>
      <c r="O187" s="4"/>
      <c r="P187" s="4">
        <f t="shared" si="32"/>
        <v>5</v>
      </c>
      <c r="Q187" s="4">
        <f t="shared" si="33"/>
        <v>0</v>
      </c>
      <c r="R187" s="4">
        <f t="shared" si="34"/>
        <v>5</v>
      </c>
      <c r="S187" s="8" t="str">
        <f t="shared" si="35"/>
        <v>, 20</v>
      </c>
      <c r="T187" s="8" t="str">
        <f t="shared" si="36"/>
        <v>, 20</v>
      </c>
      <c r="U187" s="8" t="str">
        <f t="shared" si="37"/>
        <v>, 20</v>
      </c>
      <c r="V187" s="8" t="str">
        <f t="shared" si="38"/>
        <v>, 20</v>
      </c>
      <c r="W187" s="8" t="str">
        <f t="shared" si="39"/>
        <v>, 252</v>
      </c>
      <c r="X187" s="8" t="str">
        <f t="shared" si="40"/>
        <v/>
      </c>
      <c r="Y187" s="8" t="str">
        <f t="shared" si="41"/>
        <v/>
      </c>
      <c r="Z187" s="8" t="str">
        <f t="shared" si="42"/>
        <v/>
      </c>
      <c r="AA187" s="8" t="str">
        <f t="shared" si="43"/>
        <v/>
      </c>
      <c r="AB187" s="8" t="str">
        <f t="shared" si="44"/>
        <v/>
      </c>
      <c r="AC187" s="5" t="str">
        <f t="shared" si="45"/>
        <v>,		// 183 - 'Top Right double H'</v>
      </c>
      <c r="AD187" s="4"/>
      <c r="AE187" s="31" t="str">
        <f t="shared" si="46"/>
        <v>5, 20, 20, 20, 20, 252,		// 183 - 'Top Right double H'</v>
      </c>
      <c r="AF187" s="4"/>
    </row>
    <row r="188" spans="1:32" x14ac:dyDescent="0.25">
      <c r="A188" s="16">
        <v>184</v>
      </c>
      <c r="B188" s="20"/>
      <c r="C188" s="38" t="s">
        <v>183</v>
      </c>
      <c r="D188" s="42">
        <v>0</v>
      </c>
      <c r="E188" s="11">
        <v>20</v>
      </c>
      <c r="F188" s="11">
        <v>20</v>
      </c>
      <c r="G188" s="11">
        <v>247</v>
      </c>
      <c r="H188" s="11">
        <v>0</v>
      </c>
      <c r="I188" s="11">
        <v>255</v>
      </c>
      <c r="J188" s="11">
        <v>0</v>
      </c>
      <c r="K188" s="11">
        <v>0</v>
      </c>
      <c r="L188" s="11">
        <v>0</v>
      </c>
      <c r="M188" s="11">
        <v>0</v>
      </c>
      <c r="N188" s="12">
        <v>0</v>
      </c>
      <c r="O188" s="4"/>
      <c r="P188" s="4">
        <f t="shared" si="32"/>
        <v>5</v>
      </c>
      <c r="Q188" s="4">
        <f t="shared" si="33"/>
        <v>0</v>
      </c>
      <c r="R188" s="4">
        <f t="shared" si="34"/>
        <v>5</v>
      </c>
      <c r="S188" s="8" t="str">
        <f t="shared" si="35"/>
        <v>, 20</v>
      </c>
      <c r="T188" s="8" t="str">
        <f t="shared" si="36"/>
        <v>, 20</v>
      </c>
      <c r="U188" s="8" t="str">
        <f t="shared" si="37"/>
        <v>, 247</v>
      </c>
      <c r="V188" s="8" t="str">
        <f t="shared" si="38"/>
        <v>, 0</v>
      </c>
      <c r="W188" s="8" t="str">
        <f t="shared" si="39"/>
        <v>, 255</v>
      </c>
      <c r="X188" s="8" t="str">
        <f t="shared" si="40"/>
        <v/>
      </c>
      <c r="Y188" s="8" t="str">
        <f t="shared" si="41"/>
        <v/>
      </c>
      <c r="Z188" s="8" t="str">
        <f t="shared" si="42"/>
        <v/>
      </c>
      <c r="AA188" s="8" t="str">
        <f t="shared" si="43"/>
        <v/>
      </c>
      <c r="AB188" s="8" t="str">
        <f t="shared" si="44"/>
        <v/>
      </c>
      <c r="AC188" s="5" t="str">
        <f t="shared" si="45"/>
        <v>,		// 184 - 'Right T double all'</v>
      </c>
      <c r="AD188" s="4"/>
      <c r="AE188" s="31" t="str">
        <f t="shared" si="46"/>
        <v>5, 20, 20, 247, 0, 255,		// 184 - 'Right T double all'</v>
      </c>
      <c r="AF188" s="4"/>
    </row>
    <row r="189" spans="1:32" x14ac:dyDescent="0.25">
      <c r="A189" s="16">
        <v>185</v>
      </c>
      <c r="B189" s="20"/>
      <c r="C189" s="38" t="s">
        <v>184</v>
      </c>
      <c r="D189" s="42">
        <v>0</v>
      </c>
      <c r="E189" s="11">
        <v>0</v>
      </c>
      <c r="F189" s="11">
        <v>0</v>
      </c>
      <c r="G189" s="11">
        <v>255</v>
      </c>
      <c r="H189" s="11">
        <v>0</v>
      </c>
      <c r="I189" s="11">
        <v>255</v>
      </c>
      <c r="J189" s="11">
        <v>0</v>
      </c>
      <c r="K189" s="11">
        <v>0</v>
      </c>
      <c r="L189" s="11">
        <v>0</v>
      </c>
      <c r="M189" s="11">
        <v>0</v>
      </c>
      <c r="N189" s="12">
        <v>0</v>
      </c>
      <c r="O189" s="4"/>
      <c r="P189" s="4">
        <f t="shared" si="32"/>
        <v>5</v>
      </c>
      <c r="Q189" s="4">
        <f t="shared" si="33"/>
        <v>0</v>
      </c>
      <c r="R189" s="4">
        <f t="shared" si="34"/>
        <v>5</v>
      </c>
      <c r="S189" s="8" t="str">
        <f t="shared" si="35"/>
        <v>, 0</v>
      </c>
      <c r="T189" s="8" t="str">
        <f t="shared" si="36"/>
        <v>, 0</v>
      </c>
      <c r="U189" s="8" t="str">
        <f t="shared" si="37"/>
        <v>, 255</v>
      </c>
      <c r="V189" s="8" t="str">
        <f t="shared" si="38"/>
        <v>, 0</v>
      </c>
      <c r="W189" s="8" t="str">
        <f t="shared" si="39"/>
        <v>, 255</v>
      </c>
      <c r="X189" s="8" t="str">
        <f t="shared" si="40"/>
        <v/>
      </c>
      <c r="Y189" s="8" t="str">
        <f t="shared" si="41"/>
        <v/>
      </c>
      <c r="Z189" s="8" t="str">
        <f t="shared" si="42"/>
        <v/>
      </c>
      <c r="AA189" s="8" t="str">
        <f t="shared" si="43"/>
        <v/>
      </c>
      <c r="AB189" s="8" t="str">
        <f t="shared" si="44"/>
        <v/>
      </c>
      <c r="AC189" s="5" t="str">
        <f t="shared" si="45"/>
        <v>,		// 185 - 'Right side double'</v>
      </c>
      <c r="AD189" s="4"/>
      <c r="AE189" s="31" t="str">
        <f t="shared" si="46"/>
        <v>5, 0, 0, 255, 0, 255,		// 185 - 'Right side double'</v>
      </c>
      <c r="AF189" s="4"/>
    </row>
    <row r="190" spans="1:32" x14ac:dyDescent="0.25">
      <c r="A190" s="16">
        <v>186</v>
      </c>
      <c r="B190" s="20"/>
      <c r="C190" s="38" t="s">
        <v>185</v>
      </c>
      <c r="D190" s="42">
        <v>0</v>
      </c>
      <c r="E190" s="11">
        <v>20</v>
      </c>
      <c r="F190" s="11">
        <v>20</v>
      </c>
      <c r="G190" s="11">
        <v>244</v>
      </c>
      <c r="H190" s="11">
        <v>4</v>
      </c>
      <c r="I190" s="11">
        <v>252</v>
      </c>
      <c r="J190" s="11">
        <v>0</v>
      </c>
      <c r="K190" s="11">
        <v>0</v>
      </c>
      <c r="L190" s="11">
        <v>0</v>
      </c>
      <c r="M190" s="11">
        <v>0</v>
      </c>
      <c r="N190" s="12">
        <v>0</v>
      </c>
      <c r="O190" s="4"/>
      <c r="P190" s="4">
        <f t="shared" si="32"/>
        <v>5</v>
      </c>
      <c r="Q190" s="4">
        <f t="shared" si="33"/>
        <v>0</v>
      </c>
      <c r="R190" s="4">
        <f t="shared" si="34"/>
        <v>5</v>
      </c>
      <c r="S190" s="8" t="str">
        <f t="shared" si="35"/>
        <v>, 20</v>
      </c>
      <c r="T190" s="8" t="str">
        <f t="shared" si="36"/>
        <v>, 20</v>
      </c>
      <c r="U190" s="8" t="str">
        <f t="shared" si="37"/>
        <v>, 244</v>
      </c>
      <c r="V190" s="8" t="str">
        <f t="shared" si="38"/>
        <v>, 4</v>
      </c>
      <c r="W190" s="8" t="str">
        <f t="shared" si="39"/>
        <v>, 252</v>
      </c>
      <c r="X190" s="8" t="str">
        <f t="shared" si="40"/>
        <v/>
      </c>
      <c r="Y190" s="8" t="str">
        <f t="shared" si="41"/>
        <v/>
      </c>
      <c r="Z190" s="8" t="str">
        <f t="shared" si="42"/>
        <v/>
      </c>
      <c r="AA190" s="8" t="str">
        <f t="shared" si="43"/>
        <v/>
      </c>
      <c r="AB190" s="8" t="str">
        <f t="shared" si="44"/>
        <v/>
      </c>
      <c r="AC190" s="5" t="str">
        <f t="shared" si="45"/>
        <v>,		// 186 - 'Top Right double'</v>
      </c>
      <c r="AD190" s="4"/>
      <c r="AE190" s="31" t="str">
        <f t="shared" si="46"/>
        <v>5, 20, 20, 244, 4, 252,		// 186 - 'Top Right double'</v>
      </c>
      <c r="AF190" s="4"/>
    </row>
    <row r="191" spans="1:32" x14ac:dyDescent="0.25">
      <c r="A191" s="16">
        <v>187</v>
      </c>
      <c r="B191" s="20"/>
      <c r="C191" s="38" t="s">
        <v>186</v>
      </c>
      <c r="D191" s="42">
        <v>0</v>
      </c>
      <c r="E191" s="11">
        <v>20</v>
      </c>
      <c r="F191" s="11">
        <v>20</v>
      </c>
      <c r="G191" s="11">
        <v>23</v>
      </c>
      <c r="H191" s="11">
        <v>16</v>
      </c>
      <c r="I191" s="11">
        <v>31</v>
      </c>
      <c r="J191" s="11">
        <v>0</v>
      </c>
      <c r="K191" s="11">
        <v>0</v>
      </c>
      <c r="L191" s="11">
        <v>0</v>
      </c>
      <c r="M191" s="11">
        <v>0</v>
      </c>
      <c r="N191" s="12">
        <v>0</v>
      </c>
      <c r="O191" s="4"/>
      <c r="P191" s="4">
        <f t="shared" si="32"/>
        <v>5</v>
      </c>
      <c r="Q191" s="4">
        <f t="shared" si="33"/>
        <v>0</v>
      </c>
      <c r="R191" s="4">
        <f t="shared" si="34"/>
        <v>5</v>
      </c>
      <c r="S191" s="8" t="str">
        <f t="shared" si="35"/>
        <v>, 20</v>
      </c>
      <c r="T191" s="8" t="str">
        <f t="shared" si="36"/>
        <v>, 20</v>
      </c>
      <c r="U191" s="8" t="str">
        <f t="shared" si="37"/>
        <v>, 23</v>
      </c>
      <c r="V191" s="8" t="str">
        <f t="shared" si="38"/>
        <v>, 16</v>
      </c>
      <c r="W191" s="8" t="str">
        <f t="shared" si="39"/>
        <v>, 31</v>
      </c>
      <c r="X191" s="8" t="str">
        <f t="shared" si="40"/>
        <v/>
      </c>
      <c r="Y191" s="8" t="str">
        <f t="shared" si="41"/>
        <v/>
      </c>
      <c r="Z191" s="8" t="str">
        <f t="shared" si="42"/>
        <v/>
      </c>
      <c r="AA191" s="8" t="str">
        <f t="shared" si="43"/>
        <v/>
      </c>
      <c r="AB191" s="8" t="str">
        <f t="shared" si="44"/>
        <v/>
      </c>
      <c r="AC191" s="5" t="str">
        <f t="shared" si="45"/>
        <v>,		// 187 - 'Bot Right double'</v>
      </c>
      <c r="AD191" s="4"/>
      <c r="AE191" s="31" t="str">
        <f t="shared" si="46"/>
        <v>5, 20, 20, 23, 16, 31,		// 187 - 'Bot Right double'</v>
      </c>
      <c r="AF191" s="4"/>
    </row>
    <row r="192" spans="1:32" x14ac:dyDescent="0.25">
      <c r="A192" s="16">
        <v>188</v>
      </c>
      <c r="B192" s="20"/>
      <c r="C192" s="38" t="s">
        <v>187</v>
      </c>
      <c r="D192" s="42">
        <v>0</v>
      </c>
      <c r="E192" s="11">
        <v>16</v>
      </c>
      <c r="F192" s="11">
        <v>16</v>
      </c>
      <c r="G192" s="11">
        <v>31</v>
      </c>
      <c r="H192" s="11">
        <v>16</v>
      </c>
      <c r="I192" s="11">
        <v>31</v>
      </c>
      <c r="J192" s="11">
        <v>0</v>
      </c>
      <c r="K192" s="11">
        <v>0</v>
      </c>
      <c r="L192" s="11">
        <v>0</v>
      </c>
      <c r="M192" s="11">
        <v>0</v>
      </c>
      <c r="N192" s="12">
        <v>0</v>
      </c>
      <c r="O192" s="4"/>
      <c r="P192" s="4">
        <f t="shared" si="32"/>
        <v>5</v>
      </c>
      <c r="Q192" s="4">
        <f t="shared" si="33"/>
        <v>0</v>
      </c>
      <c r="R192" s="4">
        <f t="shared" si="34"/>
        <v>5</v>
      </c>
      <c r="S192" s="8" t="str">
        <f t="shared" si="35"/>
        <v>, 16</v>
      </c>
      <c r="T192" s="8" t="str">
        <f t="shared" si="36"/>
        <v>, 16</v>
      </c>
      <c r="U192" s="8" t="str">
        <f t="shared" si="37"/>
        <v>, 31</v>
      </c>
      <c r="V192" s="8" t="str">
        <f t="shared" si="38"/>
        <v>, 16</v>
      </c>
      <c r="W192" s="8" t="str">
        <f t="shared" si="39"/>
        <v>, 31</v>
      </c>
      <c r="X192" s="8" t="str">
        <f t="shared" si="40"/>
        <v/>
      </c>
      <c r="Y192" s="8" t="str">
        <f t="shared" si="41"/>
        <v/>
      </c>
      <c r="Z192" s="8" t="str">
        <f t="shared" si="42"/>
        <v/>
      </c>
      <c r="AA192" s="8" t="str">
        <f t="shared" si="43"/>
        <v/>
      </c>
      <c r="AB192" s="8" t="str">
        <f t="shared" si="44"/>
        <v/>
      </c>
      <c r="AC192" s="5" t="str">
        <f t="shared" si="45"/>
        <v>,		// 188 - 'Bot Right double V'</v>
      </c>
      <c r="AD192" s="4"/>
      <c r="AE192" s="31" t="str">
        <f t="shared" si="46"/>
        <v>5, 16, 16, 31, 16, 31,		// 188 - 'Bot Right double V'</v>
      </c>
      <c r="AF192" s="4"/>
    </row>
    <row r="193" spans="1:32" x14ac:dyDescent="0.25">
      <c r="A193" s="16">
        <v>189</v>
      </c>
      <c r="B193" s="20"/>
      <c r="C193" s="38" t="s">
        <v>188</v>
      </c>
      <c r="D193" s="42">
        <v>0</v>
      </c>
      <c r="E193" s="11">
        <v>20</v>
      </c>
      <c r="F193" s="11">
        <v>20</v>
      </c>
      <c r="G193" s="11">
        <v>20</v>
      </c>
      <c r="H193" s="11">
        <v>20</v>
      </c>
      <c r="I193" s="11">
        <v>31</v>
      </c>
      <c r="J193" s="11">
        <v>0</v>
      </c>
      <c r="K193" s="11">
        <v>0</v>
      </c>
      <c r="L193" s="11">
        <v>0</v>
      </c>
      <c r="M193" s="11">
        <v>0</v>
      </c>
      <c r="N193" s="12">
        <v>0</v>
      </c>
      <c r="O193" s="4"/>
      <c r="P193" s="4">
        <f t="shared" si="32"/>
        <v>5</v>
      </c>
      <c r="Q193" s="4">
        <f t="shared" si="33"/>
        <v>0</v>
      </c>
      <c r="R193" s="4">
        <f t="shared" si="34"/>
        <v>5</v>
      </c>
      <c r="S193" s="8" t="str">
        <f t="shared" si="35"/>
        <v>, 20</v>
      </c>
      <c r="T193" s="8" t="str">
        <f t="shared" si="36"/>
        <v>, 20</v>
      </c>
      <c r="U193" s="8" t="str">
        <f t="shared" si="37"/>
        <v>, 20</v>
      </c>
      <c r="V193" s="8" t="str">
        <f t="shared" si="38"/>
        <v>, 20</v>
      </c>
      <c r="W193" s="8" t="str">
        <f t="shared" si="39"/>
        <v>, 31</v>
      </c>
      <c r="X193" s="8" t="str">
        <f t="shared" si="40"/>
        <v/>
      </c>
      <c r="Y193" s="8" t="str">
        <f t="shared" si="41"/>
        <v/>
      </c>
      <c r="Z193" s="8" t="str">
        <f t="shared" si="42"/>
        <v/>
      </c>
      <c r="AA193" s="8" t="str">
        <f t="shared" si="43"/>
        <v/>
      </c>
      <c r="AB193" s="8" t="str">
        <f t="shared" si="44"/>
        <v/>
      </c>
      <c r="AC193" s="5" t="str">
        <f t="shared" si="45"/>
        <v>,		// 189 - 'Bot Right double H'</v>
      </c>
      <c r="AD193" s="4"/>
      <c r="AE193" s="31" t="str">
        <f t="shared" si="46"/>
        <v>5, 20, 20, 20, 20, 31,		// 189 - 'Bot Right double H'</v>
      </c>
      <c r="AF193" s="4"/>
    </row>
    <row r="194" spans="1:32" x14ac:dyDescent="0.25">
      <c r="A194" s="16">
        <v>190</v>
      </c>
      <c r="B194" s="20"/>
      <c r="C194" s="38" t="s">
        <v>189</v>
      </c>
      <c r="D194" s="42">
        <v>0</v>
      </c>
      <c r="E194" s="11">
        <v>16</v>
      </c>
      <c r="F194" s="11">
        <v>16</v>
      </c>
      <c r="G194" s="11">
        <v>16</v>
      </c>
      <c r="H194" s="11">
        <v>16</v>
      </c>
      <c r="I194" s="11">
        <v>240</v>
      </c>
      <c r="J194" s="11">
        <v>0</v>
      </c>
      <c r="K194" s="11">
        <v>0</v>
      </c>
      <c r="L194" s="11">
        <v>0</v>
      </c>
      <c r="M194" s="11">
        <v>0</v>
      </c>
      <c r="N194" s="12">
        <v>0</v>
      </c>
      <c r="O194" s="4"/>
      <c r="P194" s="4">
        <f t="shared" si="32"/>
        <v>5</v>
      </c>
      <c r="Q194" s="4">
        <f t="shared" si="33"/>
        <v>0</v>
      </c>
      <c r="R194" s="4">
        <f t="shared" si="34"/>
        <v>5</v>
      </c>
      <c r="S194" s="8" t="str">
        <f t="shared" si="35"/>
        <v>, 16</v>
      </c>
      <c r="T194" s="8" t="str">
        <f t="shared" si="36"/>
        <v>, 16</v>
      </c>
      <c r="U194" s="8" t="str">
        <f t="shared" si="37"/>
        <v>, 16</v>
      </c>
      <c r="V194" s="8" t="str">
        <f t="shared" si="38"/>
        <v>, 16</v>
      </c>
      <c r="W194" s="8" t="str">
        <f t="shared" si="39"/>
        <v>, 240</v>
      </c>
      <c r="X194" s="8" t="str">
        <f t="shared" si="40"/>
        <v/>
      </c>
      <c r="Y194" s="8" t="str">
        <f t="shared" si="41"/>
        <v/>
      </c>
      <c r="Z194" s="8" t="str">
        <f t="shared" si="42"/>
        <v/>
      </c>
      <c r="AA194" s="8" t="str">
        <f t="shared" si="43"/>
        <v/>
      </c>
      <c r="AB194" s="8" t="str">
        <f t="shared" si="44"/>
        <v/>
      </c>
      <c r="AC194" s="5" t="str">
        <f t="shared" si="45"/>
        <v>,		// 190 - 'Top Right'</v>
      </c>
      <c r="AD194" s="4"/>
      <c r="AE194" s="31" t="str">
        <f t="shared" si="46"/>
        <v>5, 16, 16, 16, 16, 240,		// 190 - 'Top Right'</v>
      </c>
      <c r="AF194" s="4"/>
    </row>
    <row r="195" spans="1:32" x14ac:dyDescent="0.25">
      <c r="A195" s="16">
        <v>191</v>
      </c>
      <c r="B195" s="20"/>
      <c r="C195" s="38" t="s">
        <v>190</v>
      </c>
      <c r="D195" s="42">
        <v>0</v>
      </c>
      <c r="E195" s="11">
        <v>0</v>
      </c>
      <c r="F195" s="11">
        <v>0</v>
      </c>
      <c r="G195" s="11">
        <v>0</v>
      </c>
      <c r="H195" s="11">
        <v>31</v>
      </c>
      <c r="I195" s="11">
        <v>16</v>
      </c>
      <c r="J195" s="11">
        <v>0</v>
      </c>
      <c r="K195" s="11">
        <v>0</v>
      </c>
      <c r="L195" s="11">
        <v>0</v>
      </c>
      <c r="M195" s="11">
        <v>0</v>
      </c>
      <c r="N195" s="12">
        <v>0</v>
      </c>
      <c r="O195" s="4"/>
      <c r="P195" s="4">
        <f t="shared" si="32"/>
        <v>5</v>
      </c>
      <c r="Q195" s="4">
        <f t="shared" si="33"/>
        <v>0</v>
      </c>
      <c r="R195" s="4">
        <f t="shared" si="34"/>
        <v>5</v>
      </c>
      <c r="S195" s="8" t="str">
        <f t="shared" si="35"/>
        <v>, 0</v>
      </c>
      <c r="T195" s="8" t="str">
        <f t="shared" si="36"/>
        <v>, 0</v>
      </c>
      <c r="U195" s="8" t="str">
        <f t="shared" si="37"/>
        <v>, 0</v>
      </c>
      <c r="V195" s="8" t="str">
        <f t="shared" si="38"/>
        <v>, 31</v>
      </c>
      <c r="W195" s="8" t="str">
        <f t="shared" si="39"/>
        <v>, 16</v>
      </c>
      <c r="X195" s="8" t="str">
        <f t="shared" si="40"/>
        <v/>
      </c>
      <c r="Y195" s="8" t="str">
        <f t="shared" si="41"/>
        <v/>
      </c>
      <c r="Z195" s="8" t="str">
        <f t="shared" si="42"/>
        <v/>
      </c>
      <c r="AA195" s="8" t="str">
        <f t="shared" si="43"/>
        <v/>
      </c>
      <c r="AB195" s="8" t="str">
        <f t="shared" si="44"/>
        <v/>
      </c>
      <c r="AC195" s="5" t="str">
        <f t="shared" si="45"/>
        <v>,		// 191 - 'Bot Left'</v>
      </c>
      <c r="AD195" s="4"/>
      <c r="AE195" s="31" t="str">
        <f t="shared" si="46"/>
        <v>5, 0, 0, 0, 31, 16,		// 191 - 'Bot Left'</v>
      </c>
      <c r="AF195" s="4"/>
    </row>
    <row r="196" spans="1:32" x14ac:dyDescent="0.25">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32"/>
        <v>5</v>
      </c>
      <c r="Q196" s="4">
        <f t="shared" si="33"/>
        <v>0</v>
      </c>
      <c r="R196" s="4">
        <f t="shared" si="34"/>
        <v>5</v>
      </c>
      <c r="S196" s="8" t="str">
        <f t="shared" si="35"/>
        <v>, 16</v>
      </c>
      <c r="T196" s="8" t="str">
        <f t="shared" si="36"/>
        <v>, 16</v>
      </c>
      <c r="U196" s="8" t="str">
        <f t="shared" si="37"/>
        <v>, 16</v>
      </c>
      <c r="V196" s="8" t="str">
        <f t="shared" si="38"/>
        <v>, 31</v>
      </c>
      <c r="W196" s="8" t="str">
        <f t="shared" si="39"/>
        <v>, 16</v>
      </c>
      <c r="X196" s="8" t="str">
        <f t="shared" si="40"/>
        <v/>
      </c>
      <c r="Y196" s="8" t="str">
        <f t="shared" si="41"/>
        <v/>
      </c>
      <c r="Z196" s="8" t="str">
        <f t="shared" si="42"/>
        <v/>
      </c>
      <c r="AA196" s="8" t="str">
        <f t="shared" si="43"/>
        <v/>
      </c>
      <c r="AB196" s="8" t="str">
        <f t="shared" si="44"/>
        <v/>
      </c>
      <c r="AC196" s="5" t="str">
        <f t="shared" si="45"/>
        <v>,		// 192 - 'Bot T'</v>
      </c>
      <c r="AD196" s="4"/>
      <c r="AE196" s="31" t="str">
        <f t="shared" si="46"/>
        <v>5, 16, 16, 16, 31, 16,		// 192 - 'Bot T'</v>
      </c>
      <c r="AF196" s="4"/>
    </row>
    <row r="197" spans="1:32" x14ac:dyDescent="0.25">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7">IF(D197&lt;&gt;0,D197,IF(N197&lt;&gt;0,10,IF(M197&lt;&gt;0,9,IF(L197&lt;&gt;0,8,IF(K197&lt;&gt;0,7,IF(J197&lt;&gt;0,6,IF(I197&lt;&gt;0,5,IF(H197&lt;&gt;0,4,IF(G197&lt;&gt;0,3,IF(F197&lt;&gt;0,2,IF(E197&lt;&gt;0,1,0)))))))))))</f>
        <v>5</v>
      </c>
      <c r="Q197" s="4">
        <f t="shared" ref="Q197:Q259" si="48">IF($Q$2,P69,0)</f>
        <v>0</v>
      </c>
      <c r="R197" s="4">
        <f t="shared" ref="R197:R259" si="49">MAX(P197:Q197)</f>
        <v>5</v>
      </c>
      <c r="S197" s="8" t="str">
        <f t="shared" ref="S197:S259" si="50">IF($R197&gt;=S$3,", "&amp;E197,"")</f>
        <v>, 16</v>
      </c>
      <c r="T197" s="8" t="str">
        <f t="shared" ref="T197:T259" si="51">IF($R197&gt;=T$3,", "&amp;F197,"")</f>
        <v>, 16</v>
      </c>
      <c r="U197" s="8" t="str">
        <f t="shared" ref="U197:U259" si="52">IF($R197&gt;=U$3,", "&amp;G197,"")</f>
        <v>, 16</v>
      </c>
      <c r="V197" s="8" t="str">
        <f t="shared" ref="V197:V259" si="53">IF($R197&gt;=V$3,", "&amp;H197,"")</f>
        <v>, 240</v>
      </c>
      <c r="W197" s="8" t="str">
        <f t="shared" ref="W197:W259" si="54">IF($R197&gt;=W$3,", "&amp;I197,"")</f>
        <v>, 16</v>
      </c>
      <c r="X197" s="8" t="str">
        <f t="shared" ref="X197:X259" si="55">IF($R197&gt;=X$3,", "&amp;J197,"")</f>
        <v/>
      </c>
      <c r="Y197" s="8" t="str">
        <f t="shared" ref="Y197:Y259" si="56">IF($R197&gt;=Y$3,", "&amp;K197,"")</f>
        <v/>
      </c>
      <c r="Z197" s="8" t="str">
        <f t="shared" ref="Z197:Z259" si="57">IF($R197&gt;=Z$3,", "&amp;L197,"")</f>
        <v/>
      </c>
      <c r="AA197" s="8" t="str">
        <f t="shared" ref="AA197:AA259" si="58">IF($R197&gt;=AA$3,", "&amp;M197,"")</f>
        <v/>
      </c>
      <c r="AB197" s="8" t="str">
        <f t="shared" ref="AB197:AB259" si="59">IF($R197&gt;=AB$3,", "&amp;N197,"")</f>
        <v/>
      </c>
      <c r="AC197" s="5" t="str">
        <f t="shared" ref="AC197:AC259" si="60">","&amp;  CHAR(9) &amp; CHAR(9) &amp;"// " &amp; A197 &amp; IF(LEN(C197)&lt;&gt;0," - " &amp;  CHAR(39) &amp; C197 &amp; CHAR(39),"")</f>
        <v>,		// 193 - 'Top T'</v>
      </c>
      <c r="AD197" s="4"/>
      <c r="AE197" s="31" t="str">
        <f t="shared" si="46"/>
        <v>5, 16, 16, 16, 240, 16,		// 193 - 'Top T'</v>
      </c>
      <c r="AF197" s="4"/>
    </row>
    <row r="198" spans="1:32" x14ac:dyDescent="0.25">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7"/>
        <v>5</v>
      </c>
      <c r="Q198" s="4">
        <f t="shared" si="48"/>
        <v>0</v>
      </c>
      <c r="R198" s="4">
        <f t="shared" si="49"/>
        <v>5</v>
      </c>
      <c r="S198" s="8" t="str">
        <f t="shared" si="50"/>
        <v>, 0</v>
      </c>
      <c r="T198" s="8" t="str">
        <f t="shared" si="51"/>
        <v>, 0</v>
      </c>
      <c r="U198" s="8" t="str">
        <f t="shared" si="52"/>
        <v>, 0</v>
      </c>
      <c r="V198" s="8" t="str">
        <f t="shared" si="53"/>
        <v>, 255</v>
      </c>
      <c r="W198" s="8" t="str">
        <f t="shared" si="54"/>
        <v>, 16</v>
      </c>
      <c r="X198" s="8" t="str">
        <f t="shared" si="55"/>
        <v/>
      </c>
      <c r="Y198" s="8" t="str">
        <f t="shared" si="56"/>
        <v/>
      </c>
      <c r="Z198" s="8" t="str">
        <f t="shared" si="57"/>
        <v/>
      </c>
      <c r="AA198" s="8" t="str">
        <f t="shared" si="58"/>
        <v/>
      </c>
      <c r="AB198" s="8" t="str">
        <f t="shared" si="59"/>
        <v/>
      </c>
      <c r="AC198" s="5" t="str">
        <f t="shared" si="60"/>
        <v>,		// 194 - 'Left T'</v>
      </c>
      <c r="AD198" s="4"/>
      <c r="AE198" s="31" t="str">
        <f t="shared" ref="AE198:AE258" si="61">MAX(P198,Q198)&amp;S198&amp;T198&amp;U198&amp;V198&amp;W198&amp;X198&amp;Y198&amp;Z198&amp;AA198&amp;AB198&amp;AC198</f>
        <v>5, 0, 0, 0, 255, 16,		// 194 - 'Left T'</v>
      </c>
      <c r="AF198" s="4"/>
    </row>
    <row r="199" spans="1:32" x14ac:dyDescent="0.25">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7"/>
        <v>5</v>
      </c>
      <c r="Q199" s="4">
        <f t="shared" si="48"/>
        <v>0</v>
      </c>
      <c r="R199" s="4">
        <f t="shared" si="49"/>
        <v>5</v>
      </c>
      <c r="S199" s="8" t="str">
        <f t="shared" si="50"/>
        <v>, 16</v>
      </c>
      <c r="T199" s="8" t="str">
        <f t="shared" si="51"/>
        <v>, 16</v>
      </c>
      <c r="U199" s="8" t="str">
        <f t="shared" si="52"/>
        <v>, 16</v>
      </c>
      <c r="V199" s="8" t="str">
        <f t="shared" si="53"/>
        <v>, 16</v>
      </c>
      <c r="W199" s="8" t="str">
        <f t="shared" si="54"/>
        <v>, 16</v>
      </c>
      <c r="X199" s="8" t="str">
        <f t="shared" si="55"/>
        <v/>
      </c>
      <c r="Y199" s="8" t="str">
        <f t="shared" si="56"/>
        <v/>
      </c>
      <c r="Z199" s="8" t="str">
        <f t="shared" si="57"/>
        <v/>
      </c>
      <c r="AA199" s="8" t="str">
        <f t="shared" si="58"/>
        <v/>
      </c>
      <c r="AB199" s="8" t="str">
        <f t="shared" si="59"/>
        <v/>
      </c>
      <c r="AC199" s="5" t="str">
        <f t="shared" si="60"/>
        <v>,		// 195 - 'Top side'</v>
      </c>
      <c r="AD199" s="4"/>
      <c r="AE199" s="31" t="str">
        <f t="shared" si="61"/>
        <v>5, 16, 16, 16, 16, 16,		// 195 - 'Top side'</v>
      </c>
      <c r="AF199" s="4"/>
    </row>
    <row r="200" spans="1:32" x14ac:dyDescent="0.25">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7"/>
        <v>5</v>
      </c>
      <c r="Q200" s="4">
        <f t="shared" si="48"/>
        <v>0</v>
      </c>
      <c r="R200" s="4">
        <f t="shared" si="49"/>
        <v>5</v>
      </c>
      <c r="S200" s="8" t="str">
        <f t="shared" si="50"/>
        <v>, 16</v>
      </c>
      <c r="T200" s="8" t="str">
        <f t="shared" si="51"/>
        <v>, 16</v>
      </c>
      <c r="U200" s="8" t="str">
        <f t="shared" si="52"/>
        <v>, 16</v>
      </c>
      <c r="V200" s="8" t="str">
        <f t="shared" si="53"/>
        <v>, 255</v>
      </c>
      <c r="W200" s="8" t="str">
        <f t="shared" si="54"/>
        <v>, 16</v>
      </c>
      <c r="X200" s="8" t="str">
        <f t="shared" si="55"/>
        <v/>
      </c>
      <c r="Y200" s="8" t="str">
        <f t="shared" si="56"/>
        <v/>
      </c>
      <c r="Z200" s="8" t="str">
        <f t="shared" si="57"/>
        <v/>
      </c>
      <c r="AA200" s="8" t="str">
        <f t="shared" si="58"/>
        <v/>
      </c>
      <c r="AB200" s="8" t="str">
        <f t="shared" si="59"/>
        <v/>
      </c>
      <c r="AC200" s="5" t="str">
        <f t="shared" si="60"/>
        <v>,		// 196 - 'Center +'</v>
      </c>
      <c r="AD200" s="4"/>
      <c r="AE200" s="31" t="str">
        <f t="shared" si="61"/>
        <v>5, 16, 16, 16, 255, 16,		// 196 - 'Center +'</v>
      </c>
      <c r="AF200" s="4"/>
    </row>
    <row r="201" spans="1:32" x14ac:dyDescent="0.25">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7"/>
        <v>5</v>
      </c>
      <c r="Q201" s="4">
        <f t="shared" si="48"/>
        <v>0</v>
      </c>
      <c r="R201" s="4">
        <f t="shared" si="49"/>
        <v>5</v>
      </c>
      <c r="S201" s="8" t="str">
        <f t="shared" si="50"/>
        <v>, 0</v>
      </c>
      <c r="T201" s="8" t="str">
        <f t="shared" si="51"/>
        <v>, 0</v>
      </c>
      <c r="U201" s="8" t="str">
        <f t="shared" si="52"/>
        <v>, 0</v>
      </c>
      <c r="V201" s="8" t="str">
        <f t="shared" si="53"/>
        <v>, 255</v>
      </c>
      <c r="W201" s="8" t="str">
        <f t="shared" si="54"/>
        <v>, 20</v>
      </c>
      <c r="X201" s="8" t="str">
        <f t="shared" si="55"/>
        <v/>
      </c>
      <c r="Y201" s="8" t="str">
        <f t="shared" si="56"/>
        <v/>
      </c>
      <c r="Z201" s="8" t="str">
        <f t="shared" si="57"/>
        <v/>
      </c>
      <c r="AA201" s="8" t="str">
        <f t="shared" si="58"/>
        <v/>
      </c>
      <c r="AB201" s="8" t="str">
        <f t="shared" si="59"/>
        <v/>
      </c>
      <c r="AC201" s="5" t="str">
        <f t="shared" si="60"/>
        <v>,		// 197 - 'Left side double H'</v>
      </c>
      <c r="AD201" s="4"/>
      <c r="AE201" s="31" t="str">
        <f t="shared" si="61"/>
        <v>5, 0, 0, 0, 255, 20,		// 197 - 'Left side double H'</v>
      </c>
      <c r="AF201" s="4"/>
    </row>
    <row r="202" spans="1:32" x14ac:dyDescent="0.25">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7"/>
        <v>5</v>
      </c>
      <c r="Q202" s="4">
        <f t="shared" si="48"/>
        <v>0</v>
      </c>
      <c r="R202" s="4">
        <f t="shared" si="49"/>
        <v>5</v>
      </c>
      <c r="S202" s="8" t="str">
        <f t="shared" si="50"/>
        <v>, 0</v>
      </c>
      <c r="T202" s="8" t="str">
        <f t="shared" si="51"/>
        <v>, 0</v>
      </c>
      <c r="U202" s="8" t="str">
        <f t="shared" si="52"/>
        <v>, 255</v>
      </c>
      <c r="V202" s="8" t="str">
        <f t="shared" si="53"/>
        <v>, 0</v>
      </c>
      <c r="W202" s="8" t="str">
        <f t="shared" si="54"/>
        <v>, 255</v>
      </c>
      <c r="X202" s="8" t="str">
        <f t="shared" si="55"/>
        <v/>
      </c>
      <c r="Y202" s="8" t="str">
        <f t="shared" si="56"/>
        <v/>
      </c>
      <c r="Z202" s="8" t="str">
        <f t="shared" si="57"/>
        <v/>
      </c>
      <c r="AA202" s="8" t="str">
        <f t="shared" si="58"/>
        <v/>
      </c>
      <c r="AB202" s="8" t="str">
        <f t="shared" si="59"/>
        <v/>
      </c>
      <c r="AC202" s="5" t="str">
        <f t="shared" si="60"/>
        <v>,		// 198 - 'Left side double'</v>
      </c>
      <c r="AD202" s="4"/>
      <c r="AE202" s="31" t="str">
        <f t="shared" si="61"/>
        <v>5, 0, 0, 255, 0, 255,		// 198 - 'Left side double'</v>
      </c>
      <c r="AF202" s="4"/>
    </row>
    <row r="203" spans="1:32" x14ac:dyDescent="0.25">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IF(D203&lt;&gt;0,D203,IF(N203&lt;&gt;0,10,IF(M203&lt;&gt;0,9,IF(L203&lt;&gt;0,8,IF(K203&lt;&gt;0,7,IF(J203&lt;&gt;0,6,IF(I203&lt;&gt;0,5,IF(H203&lt;&gt;0,4,IF(G203&lt;&gt;0,3,IF(F203&lt;&gt;0,2,IF(E203&lt;&gt;0,1,0)))))))))))</f>
        <v>5</v>
      </c>
      <c r="Q203" s="4">
        <f t="shared" si="48"/>
        <v>0</v>
      </c>
      <c r="R203" s="4">
        <f t="shared" si="49"/>
        <v>5</v>
      </c>
      <c r="S203" s="8" t="str">
        <f t="shared" ref="S203:AB203" si="62">IF($R203&gt;=S$3,", "&amp;E203,"")</f>
        <v>, 0</v>
      </c>
      <c r="T203" s="8" t="str">
        <f t="shared" si="62"/>
        <v>, 0</v>
      </c>
      <c r="U203" s="8" t="str">
        <f t="shared" si="62"/>
        <v>, 31</v>
      </c>
      <c r="V203" s="8" t="str">
        <f t="shared" si="62"/>
        <v>, 16</v>
      </c>
      <c r="W203" s="8" t="str">
        <f t="shared" si="62"/>
        <v>, 23</v>
      </c>
      <c r="X203" s="8" t="str">
        <f t="shared" si="62"/>
        <v/>
      </c>
      <c r="Y203" s="8" t="str">
        <f t="shared" si="62"/>
        <v/>
      </c>
      <c r="Z203" s="8" t="str">
        <f t="shared" si="62"/>
        <v/>
      </c>
      <c r="AA203" s="8" t="str">
        <f t="shared" si="62"/>
        <v/>
      </c>
      <c r="AB203" s="8" t="str">
        <f t="shared" si="62"/>
        <v/>
      </c>
      <c r="AC203" s="5" t="str">
        <f>","&amp;  CHAR(9) &amp; CHAR(9) &amp;"// " &amp; A203 &amp; IF(LEN(C203)&lt;&gt;0," - " &amp;  CHAR(39) &amp; C203 &amp; CHAR(39),"")</f>
        <v>,		// 199 - 'Bot Left double V'</v>
      </c>
      <c r="AD203" s="4"/>
      <c r="AE203" s="31" t="str">
        <f t="shared" si="61"/>
        <v>5, 0, 0, 31, 16, 23,		// 199 - 'Bot Left double V'</v>
      </c>
      <c r="AF203" s="4"/>
    </row>
    <row r="204" spans="1:32" x14ac:dyDescent="0.25">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7"/>
        <v>5</v>
      </c>
      <c r="Q204" s="4">
        <f t="shared" si="48"/>
        <v>0</v>
      </c>
      <c r="R204" s="4">
        <f t="shared" si="49"/>
        <v>5</v>
      </c>
      <c r="S204" s="8" t="str">
        <f t="shared" si="50"/>
        <v>, 0</v>
      </c>
      <c r="T204" s="8" t="str">
        <f t="shared" si="51"/>
        <v>, 0</v>
      </c>
      <c r="U204" s="8" t="str">
        <f t="shared" si="52"/>
        <v>, 252</v>
      </c>
      <c r="V204" s="8" t="str">
        <f t="shared" si="53"/>
        <v>, 4</v>
      </c>
      <c r="W204" s="8" t="str">
        <f t="shared" si="54"/>
        <v>, 244</v>
      </c>
      <c r="X204" s="8" t="str">
        <f t="shared" si="55"/>
        <v/>
      </c>
      <c r="Y204" s="8" t="str">
        <f t="shared" si="56"/>
        <v/>
      </c>
      <c r="Z204" s="8" t="str">
        <f t="shared" si="57"/>
        <v/>
      </c>
      <c r="AA204" s="8" t="str">
        <f t="shared" si="58"/>
        <v/>
      </c>
      <c r="AB204" s="8" t="str">
        <f t="shared" si="59"/>
        <v/>
      </c>
      <c r="AC204" s="5" t="str">
        <f t="shared" si="60"/>
        <v>,		// 200 - 'Top Left double V'</v>
      </c>
      <c r="AD204" s="4"/>
      <c r="AE204" s="31" t="str">
        <f t="shared" si="61"/>
        <v>5, 0, 0, 252, 4, 244,		// 200 - 'Top Left double V'</v>
      </c>
      <c r="AF204" s="4"/>
    </row>
    <row r="205" spans="1:32" x14ac:dyDescent="0.25">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7"/>
        <v>5</v>
      </c>
      <c r="Q205" s="4">
        <f t="shared" si="48"/>
        <v>0</v>
      </c>
      <c r="R205" s="4">
        <f t="shared" si="49"/>
        <v>5</v>
      </c>
      <c r="S205" s="8" t="str">
        <f t="shared" si="50"/>
        <v>, 20</v>
      </c>
      <c r="T205" s="8" t="str">
        <f t="shared" si="51"/>
        <v>, 20</v>
      </c>
      <c r="U205" s="8" t="str">
        <f t="shared" si="52"/>
        <v>, 23</v>
      </c>
      <c r="V205" s="8" t="str">
        <f t="shared" si="53"/>
        <v>, 16</v>
      </c>
      <c r="W205" s="8" t="str">
        <f t="shared" si="54"/>
        <v>, 23</v>
      </c>
      <c r="X205" s="8" t="str">
        <f t="shared" si="55"/>
        <v/>
      </c>
      <c r="Y205" s="8" t="str">
        <f t="shared" si="56"/>
        <v/>
      </c>
      <c r="Z205" s="8" t="str">
        <f t="shared" si="57"/>
        <v/>
      </c>
      <c r="AA205" s="8" t="str">
        <f t="shared" si="58"/>
        <v/>
      </c>
      <c r="AB205" s="8" t="str">
        <f t="shared" si="59"/>
        <v/>
      </c>
      <c r="AC205" s="5" t="str">
        <f t="shared" si="60"/>
        <v>,		// 201 - 'Bot T double'</v>
      </c>
      <c r="AD205" s="4"/>
      <c r="AE205" s="31" t="str">
        <f t="shared" si="61"/>
        <v>5, 20, 20, 23, 16, 23,		// 201 - 'Bot T double'</v>
      </c>
      <c r="AF205" s="4"/>
    </row>
    <row r="206" spans="1:32" x14ac:dyDescent="0.25">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7"/>
        <v>5</v>
      </c>
      <c r="Q206" s="4">
        <f t="shared" si="48"/>
        <v>0</v>
      </c>
      <c r="R206" s="4">
        <f t="shared" si="49"/>
        <v>5</v>
      </c>
      <c r="S206" s="8" t="str">
        <f t="shared" si="50"/>
        <v>, 20</v>
      </c>
      <c r="T206" s="8" t="str">
        <f t="shared" si="51"/>
        <v>, 20</v>
      </c>
      <c r="U206" s="8" t="str">
        <f t="shared" si="52"/>
        <v>, 244</v>
      </c>
      <c r="V206" s="8" t="str">
        <f t="shared" si="53"/>
        <v>, 4</v>
      </c>
      <c r="W206" s="8" t="str">
        <f t="shared" si="54"/>
        <v>, 244</v>
      </c>
      <c r="X206" s="8" t="str">
        <f t="shared" si="55"/>
        <v/>
      </c>
      <c r="Y206" s="8" t="str">
        <f t="shared" si="56"/>
        <v/>
      </c>
      <c r="Z206" s="8" t="str">
        <f t="shared" si="57"/>
        <v/>
      </c>
      <c r="AA206" s="8" t="str">
        <f t="shared" si="58"/>
        <v/>
      </c>
      <c r="AB206" s="8" t="str">
        <f t="shared" si="59"/>
        <v/>
      </c>
      <c r="AC206" s="5" t="str">
        <f t="shared" si="60"/>
        <v>,		// 202 - 'Top T double'</v>
      </c>
      <c r="AD206" s="4"/>
      <c r="AE206" s="31" t="str">
        <f t="shared" si="61"/>
        <v>5, 20, 20, 244, 4, 244,		// 202 - 'Top T double'</v>
      </c>
      <c r="AF206" s="4"/>
    </row>
    <row r="207" spans="1:32" x14ac:dyDescent="0.25">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7"/>
        <v>5</v>
      </c>
      <c r="Q207" s="4">
        <f t="shared" si="48"/>
        <v>0</v>
      </c>
      <c r="R207" s="4">
        <f t="shared" si="49"/>
        <v>5</v>
      </c>
      <c r="S207" s="8" t="str">
        <f t="shared" si="50"/>
        <v>, 0</v>
      </c>
      <c r="T207" s="8" t="str">
        <f t="shared" si="51"/>
        <v>, 0</v>
      </c>
      <c r="U207" s="8" t="str">
        <f t="shared" si="52"/>
        <v>, 255</v>
      </c>
      <c r="V207" s="8" t="str">
        <f t="shared" si="53"/>
        <v>, 0</v>
      </c>
      <c r="W207" s="8" t="str">
        <f t="shared" si="54"/>
        <v>, 247</v>
      </c>
      <c r="X207" s="8" t="str">
        <f t="shared" si="55"/>
        <v/>
      </c>
      <c r="Y207" s="8" t="str">
        <f t="shared" si="56"/>
        <v/>
      </c>
      <c r="Z207" s="8" t="str">
        <f t="shared" si="57"/>
        <v/>
      </c>
      <c r="AA207" s="8" t="str">
        <f t="shared" si="58"/>
        <v/>
      </c>
      <c r="AB207" s="8" t="str">
        <f t="shared" si="59"/>
        <v/>
      </c>
      <c r="AC207" s="5" t="str">
        <f t="shared" si="60"/>
        <v>,		// 203 - 'Left Side double spl'</v>
      </c>
      <c r="AD207" s="4"/>
      <c r="AE207" s="31" t="str">
        <f t="shared" si="61"/>
        <v>5, 0, 0, 255, 0, 247,		// 203 - 'Left Side double spl'</v>
      </c>
      <c r="AF207" s="4"/>
    </row>
    <row r="208" spans="1:32" x14ac:dyDescent="0.25">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7"/>
        <v>5</v>
      </c>
      <c r="Q208" s="4">
        <f t="shared" si="48"/>
        <v>0</v>
      </c>
      <c r="R208" s="4">
        <f t="shared" si="49"/>
        <v>5</v>
      </c>
      <c r="S208" s="8" t="str">
        <f t="shared" si="50"/>
        <v>, 20</v>
      </c>
      <c r="T208" s="8" t="str">
        <f t="shared" si="51"/>
        <v>, 20</v>
      </c>
      <c r="U208" s="8" t="str">
        <f t="shared" si="52"/>
        <v>, 20</v>
      </c>
      <c r="V208" s="8" t="str">
        <f t="shared" si="53"/>
        <v>, 20</v>
      </c>
      <c r="W208" s="8" t="str">
        <f t="shared" si="54"/>
        <v>, 20</v>
      </c>
      <c r="X208" s="8" t="str">
        <f t="shared" si="55"/>
        <v/>
      </c>
      <c r="Y208" s="8" t="str">
        <f t="shared" si="56"/>
        <v/>
      </c>
      <c r="Z208" s="8" t="str">
        <f t="shared" si="57"/>
        <v/>
      </c>
      <c r="AA208" s="8" t="str">
        <f t="shared" si="58"/>
        <v/>
      </c>
      <c r="AB208" s="8" t="str">
        <f t="shared" si="59"/>
        <v/>
      </c>
      <c r="AC208" s="5" t="str">
        <f t="shared" si="60"/>
        <v>,		// 204 - 'Center double'</v>
      </c>
      <c r="AD208" s="4"/>
      <c r="AE208" s="31" t="str">
        <f t="shared" si="61"/>
        <v>5, 20, 20, 20, 20, 20,		// 204 - 'Center double'</v>
      </c>
      <c r="AF208" s="4"/>
    </row>
    <row r="209" spans="1:32" x14ac:dyDescent="0.25">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7"/>
        <v>5</v>
      </c>
      <c r="Q209" s="4">
        <f t="shared" si="48"/>
        <v>0</v>
      </c>
      <c r="R209" s="4">
        <f t="shared" si="49"/>
        <v>5</v>
      </c>
      <c r="S209" s="8" t="str">
        <f t="shared" si="50"/>
        <v>, 20</v>
      </c>
      <c r="T209" s="8" t="str">
        <f t="shared" si="51"/>
        <v>, 20</v>
      </c>
      <c r="U209" s="8" t="str">
        <f t="shared" si="52"/>
        <v>, 247</v>
      </c>
      <c r="V209" s="8" t="str">
        <f t="shared" si="53"/>
        <v>, 0</v>
      </c>
      <c r="W209" s="8" t="str">
        <f t="shared" si="54"/>
        <v>, 247</v>
      </c>
      <c r="X209" s="8" t="str">
        <f t="shared" si="55"/>
        <v/>
      </c>
      <c r="Y209" s="8" t="str">
        <f t="shared" si="56"/>
        <v/>
      </c>
      <c r="Z209" s="8" t="str">
        <f t="shared" si="57"/>
        <v/>
      </c>
      <c r="AA209" s="8" t="str">
        <f t="shared" si="58"/>
        <v/>
      </c>
      <c r="AB209" s="8" t="str">
        <f t="shared" si="59"/>
        <v/>
      </c>
      <c r="AC209" s="5" t="str">
        <f t="shared" si="60"/>
        <v>,		// 205 - 'Center + double'</v>
      </c>
      <c r="AD209" s="4"/>
      <c r="AE209" s="31" t="str">
        <f t="shared" si="61"/>
        <v>5, 20, 20, 247, 0, 247,		// 205 - 'Center + double'</v>
      </c>
      <c r="AF209" s="4"/>
    </row>
    <row r="210" spans="1:32" x14ac:dyDescent="0.25">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7"/>
        <v>5</v>
      </c>
      <c r="Q210" s="4">
        <f t="shared" si="48"/>
        <v>0</v>
      </c>
      <c r="R210" s="4">
        <f t="shared" si="49"/>
        <v>5</v>
      </c>
      <c r="S210" s="8" t="str">
        <f t="shared" si="50"/>
        <v>, 20</v>
      </c>
      <c r="T210" s="8" t="str">
        <f t="shared" si="51"/>
        <v>, 20</v>
      </c>
      <c r="U210" s="8" t="str">
        <f t="shared" si="52"/>
        <v>, 20</v>
      </c>
      <c r="V210" s="8" t="str">
        <f t="shared" si="53"/>
        <v>, 23</v>
      </c>
      <c r="W210" s="8" t="str">
        <f t="shared" si="54"/>
        <v>, 20</v>
      </c>
      <c r="X210" s="8" t="str">
        <f t="shared" si="55"/>
        <v/>
      </c>
      <c r="Y210" s="8" t="str">
        <f t="shared" si="56"/>
        <v/>
      </c>
      <c r="Z210" s="8" t="str">
        <f t="shared" si="57"/>
        <v/>
      </c>
      <c r="AA210" s="8" t="str">
        <f t="shared" si="58"/>
        <v/>
      </c>
      <c r="AB210" s="8" t="str">
        <f t="shared" si="59"/>
        <v/>
      </c>
      <c r="AC210" s="5" t="str">
        <f t="shared" si="60"/>
        <v>,		// 206 - 'Bot T double H'</v>
      </c>
      <c r="AD210" s="4"/>
      <c r="AE210" s="31" t="str">
        <f t="shared" si="61"/>
        <v>5, 20, 20, 20, 23, 20,		// 206 - 'Bot T double H'</v>
      </c>
      <c r="AF210" s="4"/>
    </row>
    <row r="211" spans="1:32" x14ac:dyDescent="0.25">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7"/>
        <v>5</v>
      </c>
      <c r="Q211" s="4">
        <f t="shared" si="48"/>
        <v>0</v>
      </c>
      <c r="R211" s="4">
        <f t="shared" si="49"/>
        <v>5</v>
      </c>
      <c r="S211" s="8" t="str">
        <f t="shared" si="50"/>
        <v>, 16</v>
      </c>
      <c r="T211" s="8" t="str">
        <f t="shared" si="51"/>
        <v>, 16</v>
      </c>
      <c r="U211" s="8" t="str">
        <f t="shared" si="52"/>
        <v>, 31</v>
      </c>
      <c r="V211" s="8" t="str">
        <f t="shared" si="53"/>
        <v>, 16</v>
      </c>
      <c r="W211" s="8" t="str">
        <f t="shared" si="54"/>
        <v>, 31</v>
      </c>
      <c r="X211" s="8" t="str">
        <f t="shared" si="55"/>
        <v/>
      </c>
      <c r="Y211" s="8" t="str">
        <f t="shared" si="56"/>
        <v/>
      </c>
      <c r="Z211" s="8" t="str">
        <f t="shared" si="57"/>
        <v/>
      </c>
      <c r="AA211" s="8" t="str">
        <f t="shared" si="58"/>
        <v/>
      </c>
      <c r="AB211" s="8" t="str">
        <f t="shared" si="59"/>
        <v/>
      </c>
      <c r="AC211" s="5" t="str">
        <f t="shared" si="60"/>
        <v>,		// 207 - 'Bot Right double V'</v>
      </c>
      <c r="AD211" s="4"/>
      <c r="AE211" s="31" t="str">
        <f t="shared" si="61"/>
        <v>5, 16, 16, 31, 16, 31,		// 207 - 'Bot Right double V'</v>
      </c>
      <c r="AF211" s="4"/>
    </row>
    <row r="212" spans="1:32" x14ac:dyDescent="0.25">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7"/>
        <v>5</v>
      </c>
      <c r="Q212" s="4">
        <f t="shared" si="48"/>
        <v>0</v>
      </c>
      <c r="R212" s="4">
        <f t="shared" si="49"/>
        <v>5</v>
      </c>
      <c r="S212" s="8" t="str">
        <f t="shared" si="50"/>
        <v>, 20</v>
      </c>
      <c r="T212" s="8" t="str">
        <f t="shared" si="51"/>
        <v>, 20</v>
      </c>
      <c r="U212" s="8" t="str">
        <f t="shared" si="52"/>
        <v>, 20</v>
      </c>
      <c r="V212" s="8" t="str">
        <f t="shared" si="53"/>
        <v>, 244</v>
      </c>
      <c r="W212" s="8" t="str">
        <f t="shared" si="54"/>
        <v>, 20</v>
      </c>
      <c r="X212" s="8" t="str">
        <f t="shared" si="55"/>
        <v/>
      </c>
      <c r="Y212" s="8" t="str">
        <f t="shared" si="56"/>
        <v/>
      </c>
      <c r="Z212" s="8" t="str">
        <f t="shared" si="57"/>
        <v/>
      </c>
      <c r="AA212" s="8" t="str">
        <f t="shared" si="58"/>
        <v/>
      </c>
      <c r="AB212" s="8" t="str">
        <f t="shared" si="59"/>
        <v/>
      </c>
      <c r="AC212" s="5" t="str">
        <f t="shared" si="60"/>
        <v>,		// 208 - 'Top T double H'</v>
      </c>
      <c r="AD212" s="4"/>
      <c r="AE212" s="31" t="str">
        <f t="shared" si="61"/>
        <v>5, 20, 20, 20, 244, 20,		// 208 - 'Top T double H'</v>
      </c>
      <c r="AF212" s="4"/>
    </row>
    <row r="213" spans="1:32" x14ac:dyDescent="0.25">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7"/>
        <v>5</v>
      </c>
      <c r="Q213" s="4">
        <f t="shared" si="48"/>
        <v>0</v>
      </c>
      <c r="R213" s="4">
        <f t="shared" si="49"/>
        <v>5</v>
      </c>
      <c r="S213" s="8" t="str">
        <f t="shared" si="50"/>
        <v>, 16</v>
      </c>
      <c r="T213" s="8" t="str">
        <f t="shared" si="51"/>
        <v>, 16</v>
      </c>
      <c r="U213" s="8" t="str">
        <f t="shared" si="52"/>
        <v>, 240</v>
      </c>
      <c r="V213" s="8" t="str">
        <f t="shared" si="53"/>
        <v>, 16</v>
      </c>
      <c r="W213" s="8" t="str">
        <f t="shared" si="54"/>
        <v>, 240</v>
      </c>
      <c r="X213" s="8" t="str">
        <f t="shared" si="55"/>
        <v/>
      </c>
      <c r="Y213" s="8" t="str">
        <f t="shared" si="56"/>
        <v/>
      </c>
      <c r="Z213" s="8" t="str">
        <f t="shared" si="57"/>
        <v/>
      </c>
      <c r="AA213" s="8" t="str">
        <f t="shared" si="58"/>
        <v/>
      </c>
      <c r="AB213" s="8" t="str">
        <f t="shared" si="59"/>
        <v/>
      </c>
      <c r="AC213" s="5" t="str">
        <f t="shared" si="60"/>
        <v>,		// 209 - 'Top Right double V'</v>
      </c>
      <c r="AD213" s="4"/>
      <c r="AE213" s="31" t="str">
        <f t="shared" si="61"/>
        <v>5, 16, 16, 240, 16, 240,		// 209 - 'Top Right double V'</v>
      </c>
      <c r="AF213" s="4"/>
    </row>
    <row r="214" spans="1:32" x14ac:dyDescent="0.25">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7"/>
        <v>5</v>
      </c>
      <c r="Q214" s="4">
        <f t="shared" si="48"/>
        <v>0</v>
      </c>
      <c r="R214" s="4">
        <f t="shared" si="49"/>
        <v>5</v>
      </c>
      <c r="S214" s="8" t="str">
        <f t="shared" si="50"/>
        <v>, 0</v>
      </c>
      <c r="T214" s="8" t="str">
        <f t="shared" si="51"/>
        <v>, 0</v>
      </c>
      <c r="U214" s="8" t="str">
        <f t="shared" si="52"/>
        <v>, 31</v>
      </c>
      <c r="V214" s="8" t="str">
        <f t="shared" si="53"/>
        <v>, 16</v>
      </c>
      <c r="W214" s="8" t="str">
        <f t="shared" si="54"/>
        <v>, 31</v>
      </c>
      <c r="X214" s="8" t="str">
        <f t="shared" si="55"/>
        <v/>
      </c>
      <c r="Y214" s="8" t="str">
        <f t="shared" si="56"/>
        <v/>
      </c>
      <c r="Z214" s="8" t="str">
        <f t="shared" si="57"/>
        <v/>
      </c>
      <c r="AA214" s="8" t="str">
        <f t="shared" si="58"/>
        <v/>
      </c>
      <c r="AB214" s="8" t="str">
        <f t="shared" si="59"/>
        <v/>
      </c>
      <c r="AC214" s="5" t="str">
        <f t="shared" si="60"/>
        <v>,		// 210 - 'Bot Left double V'</v>
      </c>
      <c r="AD214" s="4"/>
      <c r="AE214" s="31" t="str">
        <f t="shared" si="61"/>
        <v>5, 0, 0, 31, 16, 31,		// 210 - 'Bot Left double V'</v>
      </c>
      <c r="AF214" s="4"/>
    </row>
    <row r="215" spans="1:32" x14ac:dyDescent="0.25">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7"/>
        <v>5</v>
      </c>
      <c r="Q215" s="4">
        <f t="shared" si="48"/>
        <v>0</v>
      </c>
      <c r="R215" s="4">
        <f t="shared" si="49"/>
        <v>5</v>
      </c>
      <c r="S215" s="8" t="str">
        <f t="shared" si="50"/>
        <v>, 0</v>
      </c>
      <c r="T215" s="8" t="str">
        <f t="shared" si="51"/>
        <v>, 0</v>
      </c>
      <c r="U215" s="8" t="str">
        <f t="shared" si="52"/>
        <v>, 0</v>
      </c>
      <c r="V215" s="8" t="str">
        <f t="shared" si="53"/>
        <v>, 31</v>
      </c>
      <c r="W215" s="8" t="str">
        <f t="shared" si="54"/>
        <v>, 20</v>
      </c>
      <c r="X215" s="8" t="str">
        <f t="shared" si="55"/>
        <v/>
      </c>
      <c r="Y215" s="8" t="str">
        <f t="shared" si="56"/>
        <v/>
      </c>
      <c r="Z215" s="8" t="str">
        <f t="shared" si="57"/>
        <v/>
      </c>
      <c r="AA215" s="8" t="str">
        <f t="shared" si="58"/>
        <v/>
      </c>
      <c r="AB215" s="8" t="str">
        <f t="shared" si="59"/>
        <v/>
      </c>
      <c r="AC215" s="5" t="str">
        <f t="shared" si="60"/>
        <v>,		// 211 - 'Bot Right double H'</v>
      </c>
      <c r="AD215" s="4"/>
      <c r="AE215" s="31" t="str">
        <f t="shared" si="61"/>
        <v>5, 0, 0, 0, 31, 20,		// 211 - 'Bot Right double H'</v>
      </c>
      <c r="AF215" s="4"/>
    </row>
    <row r="216" spans="1:32" x14ac:dyDescent="0.25">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7"/>
        <v>5</v>
      </c>
      <c r="Q216" s="4">
        <f t="shared" si="48"/>
        <v>0</v>
      </c>
      <c r="R216" s="4">
        <f t="shared" si="49"/>
        <v>5</v>
      </c>
      <c r="S216" s="8" t="str">
        <f t="shared" si="50"/>
        <v>, 0</v>
      </c>
      <c r="T216" s="8" t="str">
        <f t="shared" si="51"/>
        <v>, 0</v>
      </c>
      <c r="U216" s="8" t="str">
        <f t="shared" si="52"/>
        <v>, 0</v>
      </c>
      <c r="V216" s="8" t="str">
        <f t="shared" si="53"/>
        <v>, 252</v>
      </c>
      <c r="W216" s="8" t="str">
        <f t="shared" si="54"/>
        <v>, 20</v>
      </c>
      <c r="X216" s="8" t="str">
        <f t="shared" si="55"/>
        <v/>
      </c>
      <c r="Y216" s="8" t="str">
        <f t="shared" si="56"/>
        <v/>
      </c>
      <c r="Z216" s="8" t="str">
        <f t="shared" si="57"/>
        <v/>
      </c>
      <c r="AA216" s="8" t="str">
        <f t="shared" si="58"/>
        <v/>
      </c>
      <c r="AB216" s="8" t="str">
        <f t="shared" si="59"/>
        <v/>
      </c>
      <c r="AC216" s="5" t="str">
        <f t="shared" si="60"/>
        <v>,		// 212 - 'Top Right double H'</v>
      </c>
      <c r="AD216" s="4"/>
      <c r="AE216" s="31" t="str">
        <f t="shared" si="61"/>
        <v>5, 0, 0, 0, 252, 20,		// 212 - 'Top Right double H'</v>
      </c>
      <c r="AF216" s="4"/>
    </row>
    <row r="217" spans="1:32" x14ac:dyDescent="0.25">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7"/>
        <v>5</v>
      </c>
      <c r="Q217" s="4">
        <f t="shared" si="48"/>
        <v>0</v>
      </c>
      <c r="R217" s="4">
        <f t="shared" si="49"/>
        <v>5</v>
      </c>
      <c r="S217" s="8" t="str">
        <f t="shared" si="50"/>
        <v>, 0</v>
      </c>
      <c r="T217" s="8" t="str">
        <f t="shared" si="51"/>
        <v>, 0</v>
      </c>
      <c r="U217" s="8" t="str">
        <f t="shared" si="52"/>
        <v>, 240</v>
      </c>
      <c r="V217" s="8" t="str">
        <f t="shared" si="53"/>
        <v>, 16</v>
      </c>
      <c r="W217" s="8" t="str">
        <f t="shared" si="54"/>
        <v>, 240</v>
      </c>
      <c r="X217" s="8" t="str">
        <f t="shared" si="55"/>
        <v/>
      </c>
      <c r="Y217" s="8" t="str">
        <f t="shared" si="56"/>
        <v/>
      </c>
      <c r="Z217" s="8" t="str">
        <f t="shared" si="57"/>
        <v/>
      </c>
      <c r="AA217" s="8" t="str">
        <f t="shared" si="58"/>
        <v/>
      </c>
      <c r="AB217" s="8" t="str">
        <f t="shared" si="59"/>
        <v/>
      </c>
      <c r="AC217" s="5" t="str">
        <f t="shared" si="60"/>
        <v>,		// 213 - 'Top Right double V'</v>
      </c>
      <c r="AD217" s="4"/>
      <c r="AE217" s="31" t="str">
        <f t="shared" si="61"/>
        <v>5, 0, 0, 240, 16, 240,		// 213 - 'Top Right double V'</v>
      </c>
      <c r="AF217" s="4"/>
    </row>
    <row r="218" spans="1:32" x14ac:dyDescent="0.25">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7"/>
        <v>5</v>
      </c>
      <c r="Q218" s="4">
        <f t="shared" si="48"/>
        <v>0</v>
      </c>
      <c r="R218" s="4">
        <f t="shared" si="49"/>
        <v>5</v>
      </c>
      <c r="S218" s="8" t="str">
        <f t="shared" si="50"/>
        <v>, 16</v>
      </c>
      <c r="T218" s="8" t="str">
        <f t="shared" si="51"/>
        <v>, 16</v>
      </c>
      <c r="U218" s="8" t="str">
        <f t="shared" si="52"/>
        <v>, 255</v>
      </c>
      <c r="V218" s="8" t="str">
        <f t="shared" si="53"/>
        <v>, 16</v>
      </c>
      <c r="W218" s="8" t="str">
        <f t="shared" si="54"/>
        <v>, 255</v>
      </c>
      <c r="X218" s="8" t="str">
        <f t="shared" si="55"/>
        <v/>
      </c>
      <c r="Y218" s="8" t="str">
        <f t="shared" si="56"/>
        <v/>
      </c>
      <c r="Z218" s="8" t="str">
        <f t="shared" si="57"/>
        <v/>
      </c>
      <c r="AA218" s="8" t="str">
        <f t="shared" si="58"/>
        <v/>
      </c>
      <c r="AB218" s="8" t="str">
        <f t="shared" si="59"/>
        <v/>
      </c>
      <c r="AC218" s="5" t="str">
        <f t="shared" si="60"/>
        <v>,		// 214 - 'Center + double V'</v>
      </c>
      <c r="AD218" s="4"/>
      <c r="AE218" s="31" t="str">
        <f t="shared" si="61"/>
        <v>5, 16, 16, 255, 16, 255,		// 214 - 'Center + double V'</v>
      </c>
      <c r="AF218" s="4"/>
    </row>
    <row r="219" spans="1:32" x14ac:dyDescent="0.25">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7"/>
        <v>5</v>
      </c>
      <c r="Q219" s="4">
        <f t="shared" si="48"/>
        <v>0</v>
      </c>
      <c r="R219" s="4">
        <f t="shared" si="49"/>
        <v>5</v>
      </c>
      <c r="S219" s="8" t="str">
        <f t="shared" si="50"/>
        <v>, 20</v>
      </c>
      <c r="T219" s="8" t="str">
        <f t="shared" si="51"/>
        <v>, 20</v>
      </c>
      <c r="U219" s="8" t="str">
        <f t="shared" si="52"/>
        <v>, 20</v>
      </c>
      <c r="V219" s="8" t="str">
        <f t="shared" si="53"/>
        <v>, 255</v>
      </c>
      <c r="W219" s="8" t="str">
        <f t="shared" si="54"/>
        <v>, 20</v>
      </c>
      <c r="X219" s="8" t="str">
        <f t="shared" si="55"/>
        <v/>
      </c>
      <c r="Y219" s="8" t="str">
        <f t="shared" si="56"/>
        <v/>
      </c>
      <c r="Z219" s="8" t="str">
        <f t="shared" si="57"/>
        <v/>
      </c>
      <c r="AA219" s="8" t="str">
        <f t="shared" si="58"/>
        <v/>
      </c>
      <c r="AB219" s="8" t="str">
        <f t="shared" si="59"/>
        <v/>
      </c>
      <c r="AC219" s="5" t="str">
        <f t="shared" si="60"/>
        <v>,		// 215 - 'Center + double H'</v>
      </c>
      <c r="AD219" s="4"/>
      <c r="AE219" s="31" t="str">
        <f t="shared" si="61"/>
        <v>5, 20, 20, 20, 255, 20,		// 215 - 'Center + double H'</v>
      </c>
      <c r="AF219" s="4"/>
    </row>
    <row r="220" spans="1:32" x14ac:dyDescent="0.25">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7"/>
        <v>5</v>
      </c>
      <c r="Q220" s="4">
        <f t="shared" si="48"/>
        <v>0</v>
      </c>
      <c r="R220" s="4">
        <f t="shared" si="49"/>
        <v>5</v>
      </c>
      <c r="S220" s="8" t="str">
        <f t="shared" si="50"/>
        <v>, 16</v>
      </c>
      <c r="T220" s="8" t="str">
        <f t="shared" si="51"/>
        <v>, 16</v>
      </c>
      <c r="U220" s="8" t="str">
        <f t="shared" si="52"/>
        <v>, 16</v>
      </c>
      <c r="V220" s="8" t="str">
        <f t="shared" si="53"/>
        <v>, 16</v>
      </c>
      <c r="W220" s="8" t="str">
        <f t="shared" si="54"/>
        <v>, 31</v>
      </c>
      <c r="X220" s="8" t="str">
        <f t="shared" si="55"/>
        <v/>
      </c>
      <c r="Y220" s="8" t="str">
        <f t="shared" si="56"/>
        <v/>
      </c>
      <c r="Z220" s="8" t="str">
        <f t="shared" si="57"/>
        <v/>
      </c>
      <c r="AA220" s="8" t="str">
        <f t="shared" si="58"/>
        <v/>
      </c>
      <c r="AB220" s="8" t="str">
        <f t="shared" si="59"/>
        <v/>
      </c>
      <c r="AC220" s="5" t="str">
        <f t="shared" si="60"/>
        <v>,		// 216 - 'Bot Right'</v>
      </c>
      <c r="AD220" s="4"/>
      <c r="AE220" s="31" t="str">
        <f t="shared" si="61"/>
        <v>5, 16, 16, 16, 16, 31,		// 216 - 'Bot Right'</v>
      </c>
      <c r="AF220" s="4"/>
    </row>
    <row r="221" spans="1:32" x14ac:dyDescent="0.25">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7"/>
        <v>5</v>
      </c>
      <c r="Q221" s="4">
        <f t="shared" si="48"/>
        <v>0</v>
      </c>
      <c r="R221" s="4">
        <f t="shared" si="49"/>
        <v>5</v>
      </c>
      <c r="S221" s="8" t="str">
        <f t="shared" si="50"/>
        <v>, 0</v>
      </c>
      <c r="T221" s="8" t="str">
        <f t="shared" si="51"/>
        <v>, 0</v>
      </c>
      <c r="U221" s="8" t="str">
        <f t="shared" si="52"/>
        <v>, 0</v>
      </c>
      <c r="V221" s="8" t="str">
        <f t="shared" si="53"/>
        <v>, 240</v>
      </c>
      <c r="W221" s="8" t="str">
        <f t="shared" si="54"/>
        <v>, 16</v>
      </c>
      <c r="X221" s="8" t="str">
        <f t="shared" si="55"/>
        <v/>
      </c>
      <c r="Y221" s="8" t="str">
        <f t="shared" si="56"/>
        <v/>
      </c>
      <c r="Z221" s="8" t="str">
        <f t="shared" si="57"/>
        <v/>
      </c>
      <c r="AA221" s="8" t="str">
        <f t="shared" si="58"/>
        <v/>
      </c>
      <c r="AB221" s="8" t="str">
        <f t="shared" si="59"/>
        <v/>
      </c>
      <c r="AC221" s="5" t="str">
        <f t="shared" si="60"/>
        <v>,		// 217 - 'Top Left'</v>
      </c>
      <c r="AD221" s="4"/>
      <c r="AE221" s="31" t="str">
        <f t="shared" si="61"/>
        <v>5, 0, 0, 0, 240, 16,		// 217 - 'Top Left'</v>
      </c>
      <c r="AF221" s="4"/>
    </row>
    <row r="222" spans="1:32"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7"/>
        <v>5</v>
      </c>
      <c r="Q222" s="4">
        <f t="shared" si="48"/>
        <v>0</v>
      </c>
      <c r="R222" s="4">
        <f t="shared" si="49"/>
        <v>5</v>
      </c>
      <c r="S222" s="8" t="str">
        <f t="shared" si="50"/>
        <v>, 255</v>
      </c>
      <c r="T222" s="8" t="str">
        <f t="shared" si="51"/>
        <v>, 255</v>
      </c>
      <c r="U222" s="8" t="str">
        <f t="shared" si="52"/>
        <v>, 255</v>
      </c>
      <c r="V222" s="8" t="str">
        <f t="shared" si="53"/>
        <v>, 255</v>
      </c>
      <c r="W222" s="8" t="str">
        <f t="shared" si="54"/>
        <v>, 255</v>
      </c>
      <c r="X222" s="8" t="str">
        <f t="shared" si="55"/>
        <v/>
      </c>
      <c r="Y222" s="8" t="str">
        <f t="shared" si="56"/>
        <v/>
      </c>
      <c r="Z222" s="8" t="str">
        <f t="shared" si="57"/>
        <v/>
      </c>
      <c r="AA222" s="8" t="str">
        <f t="shared" si="58"/>
        <v/>
      </c>
      <c r="AB222" s="8" t="str">
        <f t="shared" si="59"/>
        <v/>
      </c>
      <c r="AC222" s="5" t="str">
        <f t="shared" si="60"/>
        <v>,		// 218 - 'Full Block'</v>
      </c>
      <c r="AD222" s="4"/>
      <c r="AE222" s="31" t="str">
        <f t="shared" si="61"/>
        <v>5, 255, 255, 255, 255, 255,		// 218 - 'Full Block'</v>
      </c>
      <c r="AF222" s="4"/>
    </row>
    <row r="223" spans="1:32"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7"/>
        <v>5</v>
      </c>
      <c r="Q223" s="4">
        <f t="shared" si="48"/>
        <v>0</v>
      </c>
      <c r="R223" s="4">
        <f t="shared" si="49"/>
        <v>5</v>
      </c>
      <c r="S223" s="8" t="str">
        <f t="shared" si="50"/>
        <v>, 240</v>
      </c>
      <c r="T223" s="8" t="str">
        <f t="shared" si="51"/>
        <v>, 240</v>
      </c>
      <c r="U223" s="8" t="str">
        <f t="shared" si="52"/>
        <v>, 240</v>
      </c>
      <c r="V223" s="8" t="str">
        <f t="shared" si="53"/>
        <v>, 240</v>
      </c>
      <c r="W223" s="8" t="str">
        <f t="shared" si="54"/>
        <v>, 240</v>
      </c>
      <c r="X223" s="8" t="str">
        <f t="shared" si="55"/>
        <v/>
      </c>
      <c r="Y223" s="8" t="str">
        <f t="shared" si="56"/>
        <v/>
      </c>
      <c r="Z223" s="8" t="str">
        <f t="shared" si="57"/>
        <v/>
      </c>
      <c r="AA223" s="8" t="str">
        <f t="shared" si="58"/>
        <v/>
      </c>
      <c r="AB223" s="8" t="str">
        <f t="shared" si="59"/>
        <v/>
      </c>
      <c r="AC223" s="5" t="str">
        <f t="shared" si="60"/>
        <v>,		// 219 - 'Half Block Bottom'</v>
      </c>
      <c r="AD223" s="4"/>
      <c r="AE223" s="31" t="str">
        <f t="shared" si="61"/>
        <v>5, 240, 240, 240, 240, 240,		// 219 - 'Half Block Bottom'</v>
      </c>
      <c r="AF223" s="4"/>
    </row>
    <row r="224" spans="1:32"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7"/>
        <v>3</v>
      </c>
      <c r="Q224" s="4">
        <f t="shared" si="48"/>
        <v>0</v>
      </c>
      <c r="R224" s="4">
        <f t="shared" si="49"/>
        <v>3</v>
      </c>
      <c r="S224" s="8" t="str">
        <f t="shared" si="50"/>
        <v>, 255</v>
      </c>
      <c r="T224" s="8" t="str">
        <f t="shared" si="51"/>
        <v>, 255</v>
      </c>
      <c r="U224" s="8" t="str">
        <f t="shared" si="52"/>
        <v>, 255</v>
      </c>
      <c r="V224" s="8" t="str">
        <f t="shared" si="53"/>
        <v/>
      </c>
      <c r="W224" s="8" t="str">
        <f t="shared" si="54"/>
        <v/>
      </c>
      <c r="X224" s="8" t="str">
        <f t="shared" si="55"/>
        <v/>
      </c>
      <c r="Y224" s="8" t="str">
        <f t="shared" si="56"/>
        <v/>
      </c>
      <c r="Z224" s="8" t="str">
        <f t="shared" si="57"/>
        <v/>
      </c>
      <c r="AA224" s="8" t="str">
        <f t="shared" si="58"/>
        <v/>
      </c>
      <c r="AB224" s="8" t="str">
        <f t="shared" si="59"/>
        <v/>
      </c>
      <c r="AC224" s="5" t="str">
        <f t="shared" si="60"/>
        <v>,		// 220 - 'Half Block LHS'</v>
      </c>
      <c r="AD224" s="4"/>
      <c r="AE224" s="31" t="str">
        <f t="shared" si="61"/>
        <v>3, 255, 255, 255,		// 220 - 'Half Block LHS'</v>
      </c>
      <c r="AF224" s="4"/>
    </row>
    <row r="225" spans="1:32"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7"/>
        <v>5</v>
      </c>
      <c r="Q225" s="4">
        <f t="shared" si="48"/>
        <v>0</v>
      </c>
      <c r="R225" s="4">
        <f t="shared" si="49"/>
        <v>5</v>
      </c>
      <c r="S225" s="8" t="str">
        <f t="shared" si="50"/>
        <v>, 0</v>
      </c>
      <c r="T225" s="8" t="str">
        <f t="shared" si="51"/>
        <v>, 0</v>
      </c>
      <c r="U225" s="8" t="str">
        <f t="shared" si="52"/>
        <v>, 0</v>
      </c>
      <c r="V225" s="8" t="str">
        <f t="shared" si="53"/>
        <v>, 255</v>
      </c>
      <c r="W225" s="8" t="str">
        <f t="shared" si="54"/>
        <v>, 255</v>
      </c>
      <c r="X225" s="8" t="str">
        <f t="shared" si="55"/>
        <v/>
      </c>
      <c r="Y225" s="8" t="str">
        <f t="shared" si="56"/>
        <v/>
      </c>
      <c r="Z225" s="8" t="str">
        <f t="shared" si="57"/>
        <v/>
      </c>
      <c r="AA225" s="8" t="str">
        <f t="shared" si="58"/>
        <v/>
      </c>
      <c r="AB225" s="8" t="str">
        <f t="shared" si="59"/>
        <v/>
      </c>
      <c r="AC225" s="5" t="str">
        <f t="shared" si="60"/>
        <v>,		// 221 - 'Half Block RHS'</v>
      </c>
      <c r="AD225" s="4"/>
      <c r="AE225" s="31" t="str">
        <f t="shared" si="61"/>
        <v>5, 0, 0, 0, 255, 255,		// 221 - 'Half Block RHS'</v>
      </c>
      <c r="AF225" s="4"/>
    </row>
    <row r="226" spans="1:32"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7"/>
        <v>5</v>
      </c>
      <c r="Q226" s="4">
        <f t="shared" si="48"/>
        <v>0</v>
      </c>
      <c r="R226" s="4">
        <f t="shared" si="49"/>
        <v>5</v>
      </c>
      <c r="S226" s="8" t="str">
        <f t="shared" si="50"/>
        <v>, 15</v>
      </c>
      <c r="T226" s="8" t="str">
        <f t="shared" si="51"/>
        <v>, 15</v>
      </c>
      <c r="U226" s="8" t="str">
        <f t="shared" si="52"/>
        <v>, 15</v>
      </c>
      <c r="V226" s="8" t="str">
        <f t="shared" si="53"/>
        <v>, 15</v>
      </c>
      <c r="W226" s="8" t="str">
        <f t="shared" si="54"/>
        <v>, 15</v>
      </c>
      <c r="X226" s="8" t="str">
        <f t="shared" si="55"/>
        <v/>
      </c>
      <c r="Y226" s="8" t="str">
        <f t="shared" si="56"/>
        <v/>
      </c>
      <c r="Z226" s="8" t="str">
        <f t="shared" si="57"/>
        <v/>
      </c>
      <c r="AA226" s="8" t="str">
        <f t="shared" si="58"/>
        <v/>
      </c>
      <c r="AB226" s="8" t="str">
        <f t="shared" si="59"/>
        <v/>
      </c>
      <c r="AC226" s="5" t="str">
        <f t="shared" si="60"/>
        <v>,		// 222 - 'Half Block Top'</v>
      </c>
      <c r="AD226" s="4"/>
      <c r="AE226" s="31" t="str">
        <f t="shared" si="61"/>
        <v>5, 15, 15, 15, 15, 15,		// 222 - 'Half Block Top'</v>
      </c>
      <c r="AF226" s="4"/>
    </row>
    <row r="227" spans="1:32"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7"/>
        <v>5</v>
      </c>
      <c r="Q227" s="4">
        <f t="shared" si="48"/>
        <v>0</v>
      </c>
      <c r="R227" s="4">
        <f t="shared" si="49"/>
        <v>5</v>
      </c>
      <c r="S227" s="8" t="str">
        <f t="shared" si="50"/>
        <v>, 56</v>
      </c>
      <c r="T227" s="8" t="str">
        <f t="shared" si="51"/>
        <v>, 68</v>
      </c>
      <c r="U227" s="8" t="str">
        <f t="shared" si="52"/>
        <v>, 68</v>
      </c>
      <c r="V227" s="8" t="str">
        <f t="shared" si="53"/>
        <v>, 56</v>
      </c>
      <c r="W227" s="8" t="str">
        <f t="shared" si="54"/>
        <v>, 68</v>
      </c>
      <c r="X227" s="8" t="str">
        <f t="shared" si="55"/>
        <v/>
      </c>
      <c r="Y227" s="8" t="str">
        <f t="shared" si="56"/>
        <v/>
      </c>
      <c r="Z227" s="8" t="str">
        <f t="shared" si="57"/>
        <v/>
      </c>
      <c r="AA227" s="8" t="str">
        <f t="shared" si="58"/>
        <v/>
      </c>
      <c r="AB227" s="8" t="str">
        <f t="shared" si="59"/>
        <v/>
      </c>
      <c r="AC227" s="5" t="str">
        <f t="shared" si="60"/>
        <v>,		// 223 - 'Alpha'</v>
      </c>
      <c r="AD227" s="4"/>
      <c r="AE227" s="31" t="str">
        <f t="shared" si="61"/>
        <v>5, 56, 68, 68, 56, 68,		// 223 - 'Alpha'</v>
      </c>
      <c r="AF227" s="4"/>
    </row>
    <row r="228" spans="1:32"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7"/>
        <v>5</v>
      </c>
      <c r="Q228" s="4">
        <f t="shared" si="48"/>
        <v>0</v>
      </c>
      <c r="R228" s="4">
        <f t="shared" si="49"/>
        <v>5</v>
      </c>
      <c r="S228" s="8" t="str">
        <f t="shared" si="50"/>
        <v>, 124</v>
      </c>
      <c r="T228" s="8" t="str">
        <f t="shared" si="51"/>
        <v>, 42</v>
      </c>
      <c r="U228" s="8" t="str">
        <f t="shared" si="52"/>
        <v>, 42</v>
      </c>
      <c r="V228" s="8" t="str">
        <f t="shared" si="53"/>
        <v>, 62</v>
      </c>
      <c r="W228" s="8" t="str">
        <f t="shared" si="54"/>
        <v>, 20</v>
      </c>
      <c r="X228" s="8" t="str">
        <f t="shared" si="55"/>
        <v/>
      </c>
      <c r="Y228" s="8" t="str">
        <f t="shared" si="56"/>
        <v/>
      </c>
      <c r="Z228" s="8" t="str">
        <f t="shared" si="57"/>
        <v/>
      </c>
      <c r="AA228" s="8" t="str">
        <f t="shared" si="58"/>
        <v/>
      </c>
      <c r="AB228" s="8" t="str">
        <f t="shared" si="59"/>
        <v/>
      </c>
      <c r="AC228" s="5" t="str">
        <f t="shared" si="60"/>
        <v>,		// 224 - 'Beta'</v>
      </c>
      <c r="AD228" s="4"/>
      <c r="AE228" s="31" t="str">
        <f t="shared" si="61"/>
        <v>5, 124, 42, 42, 62, 20,		// 224 - 'Beta'</v>
      </c>
      <c r="AF228" s="4"/>
    </row>
    <row r="229" spans="1:32"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7"/>
        <v>5</v>
      </c>
      <c r="Q229" s="4">
        <f t="shared" si="48"/>
        <v>0</v>
      </c>
      <c r="R229" s="4">
        <f t="shared" si="49"/>
        <v>5</v>
      </c>
      <c r="S229" s="8" t="str">
        <f t="shared" si="50"/>
        <v>, 126</v>
      </c>
      <c r="T229" s="8" t="str">
        <f t="shared" si="51"/>
        <v>, 2</v>
      </c>
      <c r="U229" s="8" t="str">
        <f t="shared" si="52"/>
        <v>, 2</v>
      </c>
      <c r="V229" s="8" t="str">
        <f t="shared" si="53"/>
        <v>, 6</v>
      </c>
      <c r="W229" s="8" t="str">
        <f t="shared" si="54"/>
        <v>, 6</v>
      </c>
      <c r="X229" s="8" t="str">
        <f t="shared" si="55"/>
        <v/>
      </c>
      <c r="Y229" s="8" t="str">
        <f t="shared" si="56"/>
        <v/>
      </c>
      <c r="Z229" s="8" t="str">
        <f t="shared" si="57"/>
        <v/>
      </c>
      <c r="AA229" s="8" t="str">
        <f t="shared" si="58"/>
        <v/>
      </c>
      <c r="AB229" s="8" t="str">
        <f t="shared" si="59"/>
        <v/>
      </c>
      <c r="AC229" s="5" t="str">
        <f t="shared" si="60"/>
        <v>,		// 225 - 'Gamma'</v>
      </c>
      <c r="AD229" s="4"/>
      <c r="AE229" s="31" t="str">
        <f t="shared" si="61"/>
        <v>5, 126, 2, 2, 6, 6,		// 225 - 'Gamma'</v>
      </c>
      <c r="AF229" s="4"/>
    </row>
    <row r="230" spans="1:32"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7"/>
        <v>5</v>
      </c>
      <c r="Q230" s="4">
        <f t="shared" si="48"/>
        <v>0</v>
      </c>
      <c r="R230" s="4">
        <f t="shared" si="49"/>
        <v>5</v>
      </c>
      <c r="S230" s="8" t="str">
        <f t="shared" si="50"/>
        <v>, 2</v>
      </c>
      <c r="T230" s="8" t="str">
        <f t="shared" si="51"/>
        <v>, 126</v>
      </c>
      <c r="U230" s="8" t="str">
        <f t="shared" si="52"/>
        <v>, 2</v>
      </c>
      <c r="V230" s="8" t="str">
        <f t="shared" si="53"/>
        <v>, 126</v>
      </c>
      <c r="W230" s="8" t="str">
        <f t="shared" si="54"/>
        <v>, 2</v>
      </c>
      <c r="X230" s="8" t="str">
        <f t="shared" si="55"/>
        <v/>
      </c>
      <c r="Y230" s="8" t="str">
        <f t="shared" si="56"/>
        <v/>
      </c>
      <c r="Z230" s="8" t="str">
        <f t="shared" si="57"/>
        <v/>
      </c>
      <c r="AA230" s="8" t="str">
        <f t="shared" si="58"/>
        <v/>
      </c>
      <c r="AB230" s="8" t="str">
        <f t="shared" si="59"/>
        <v/>
      </c>
      <c r="AC230" s="5" t="str">
        <f t="shared" si="60"/>
        <v>,		// 226 - 'Pi'</v>
      </c>
      <c r="AD230" s="4"/>
      <c r="AE230" s="31" t="str">
        <f t="shared" si="61"/>
        <v>5, 2, 126, 2, 126, 2,		// 226 - 'Pi'</v>
      </c>
      <c r="AF230" s="4"/>
    </row>
    <row r="231" spans="1:32"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7"/>
        <v>5</v>
      </c>
      <c r="Q231" s="4">
        <f t="shared" si="48"/>
        <v>0</v>
      </c>
      <c r="R231" s="4">
        <f t="shared" si="49"/>
        <v>5</v>
      </c>
      <c r="S231" s="8" t="str">
        <f t="shared" si="50"/>
        <v>, 99</v>
      </c>
      <c r="T231" s="8" t="str">
        <f t="shared" si="51"/>
        <v>, 85</v>
      </c>
      <c r="U231" s="8" t="str">
        <f t="shared" si="52"/>
        <v>, 73</v>
      </c>
      <c r="V231" s="8" t="str">
        <f t="shared" si="53"/>
        <v>, 65</v>
      </c>
      <c r="W231" s="8" t="str">
        <f t="shared" si="54"/>
        <v>, 99</v>
      </c>
      <c r="X231" s="8" t="str">
        <f t="shared" si="55"/>
        <v/>
      </c>
      <c r="Y231" s="8" t="str">
        <f t="shared" si="56"/>
        <v/>
      </c>
      <c r="Z231" s="8" t="str">
        <f t="shared" si="57"/>
        <v/>
      </c>
      <c r="AA231" s="8" t="str">
        <f t="shared" si="58"/>
        <v/>
      </c>
      <c r="AB231" s="8" t="str">
        <f t="shared" si="59"/>
        <v/>
      </c>
      <c r="AC231" s="5" t="str">
        <f t="shared" si="60"/>
        <v>,		// 227 - 'Sigma'</v>
      </c>
      <c r="AD231" s="4"/>
      <c r="AE231" s="31" t="str">
        <f t="shared" si="61"/>
        <v>5, 99, 85, 73, 65, 99,		// 227 - 'Sigma'</v>
      </c>
      <c r="AF231" s="4"/>
    </row>
    <row r="232" spans="1:32"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7"/>
        <v>5</v>
      </c>
      <c r="Q232" s="4">
        <f t="shared" si="48"/>
        <v>0</v>
      </c>
      <c r="R232" s="4">
        <f t="shared" si="49"/>
        <v>5</v>
      </c>
      <c r="S232" s="8" t="str">
        <f t="shared" si="50"/>
        <v>, 56</v>
      </c>
      <c r="T232" s="8" t="str">
        <f t="shared" si="51"/>
        <v>, 68</v>
      </c>
      <c r="U232" s="8" t="str">
        <f t="shared" si="52"/>
        <v>, 68</v>
      </c>
      <c r="V232" s="8" t="str">
        <f t="shared" si="53"/>
        <v>, 60</v>
      </c>
      <c r="W232" s="8" t="str">
        <f t="shared" si="54"/>
        <v>, 4</v>
      </c>
      <c r="X232" s="8" t="str">
        <f t="shared" si="55"/>
        <v/>
      </c>
      <c r="Y232" s="8" t="str">
        <f t="shared" si="56"/>
        <v/>
      </c>
      <c r="Z232" s="8" t="str">
        <f t="shared" si="57"/>
        <v/>
      </c>
      <c r="AA232" s="8" t="str">
        <f t="shared" si="58"/>
        <v/>
      </c>
      <c r="AB232" s="8" t="str">
        <f t="shared" si="59"/>
        <v/>
      </c>
      <c r="AC232" s="5" t="str">
        <f t="shared" si="60"/>
        <v>,		// 228 - 'Theta'</v>
      </c>
      <c r="AD232" s="4"/>
      <c r="AE232" s="31" t="str">
        <f t="shared" si="61"/>
        <v>5, 56, 68, 68, 60, 4,		// 228 - 'Theta'</v>
      </c>
      <c r="AF232" s="4"/>
    </row>
    <row r="233" spans="1:32"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7"/>
        <v>5</v>
      </c>
      <c r="Q233" s="4">
        <f t="shared" si="48"/>
        <v>0</v>
      </c>
      <c r="R233" s="4">
        <f t="shared" si="49"/>
        <v>5</v>
      </c>
      <c r="S233" s="8" t="str">
        <f t="shared" si="50"/>
        <v>, 64</v>
      </c>
      <c r="T233" s="8" t="str">
        <f t="shared" si="51"/>
        <v>, 126</v>
      </c>
      <c r="U233" s="8" t="str">
        <f t="shared" si="52"/>
        <v>, 32</v>
      </c>
      <c r="V233" s="8" t="str">
        <f t="shared" si="53"/>
        <v>, 30</v>
      </c>
      <c r="W233" s="8" t="str">
        <f t="shared" si="54"/>
        <v>, 32</v>
      </c>
      <c r="X233" s="8" t="str">
        <f t="shared" si="55"/>
        <v/>
      </c>
      <c r="Y233" s="8" t="str">
        <f t="shared" si="56"/>
        <v/>
      </c>
      <c r="Z233" s="8" t="str">
        <f t="shared" si="57"/>
        <v/>
      </c>
      <c r="AA233" s="8" t="str">
        <f t="shared" si="58"/>
        <v/>
      </c>
      <c r="AB233" s="8" t="str">
        <f t="shared" si="59"/>
        <v/>
      </c>
      <c r="AC233" s="5" t="str">
        <f t="shared" si="60"/>
        <v>,		// 229 - 'mu'</v>
      </c>
      <c r="AD233" s="4"/>
      <c r="AE233" s="31" t="str">
        <f t="shared" si="61"/>
        <v>5, 64, 126, 32, 30, 32,		// 229 - 'mu'</v>
      </c>
      <c r="AF233" s="4"/>
    </row>
    <row r="234" spans="1:32"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7"/>
        <v>5</v>
      </c>
      <c r="Q234" s="4">
        <f t="shared" si="48"/>
        <v>0</v>
      </c>
      <c r="R234" s="4">
        <f t="shared" si="49"/>
        <v>5</v>
      </c>
      <c r="S234" s="8" t="str">
        <f t="shared" si="50"/>
        <v>, 6</v>
      </c>
      <c r="T234" s="8" t="str">
        <f t="shared" si="51"/>
        <v>, 2</v>
      </c>
      <c r="U234" s="8" t="str">
        <f t="shared" si="52"/>
        <v>, 126</v>
      </c>
      <c r="V234" s="8" t="str">
        <f t="shared" si="53"/>
        <v>, 2</v>
      </c>
      <c r="W234" s="8" t="str">
        <f t="shared" si="54"/>
        <v>, 2</v>
      </c>
      <c r="X234" s="8" t="str">
        <f t="shared" si="55"/>
        <v/>
      </c>
      <c r="Y234" s="8" t="str">
        <f t="shared" si="56"/>
        <v/>
      </c>
      <c r="Z234" s="8" t="str">
        <f t="shared" si="57"/>
        <v/>
      </c>
      <c r="AA234" s="8" t="str">
        <f t="shared" si="58"/>
        <v/>
      </c>
      <c r="AB234" s="8" t="str">
        <f t="shared" si="59"/>
        <v/>
      </c>
      <c r="AC234" s="5" t="str">
        <f t="shared" si="60"/>
        <v>,		// 230 - 'Tau'</v>
      </c>
      <c r="AD234" s="4"/>
      <c r="AE234" s="31" t="str">
        <f t="shared" si="61"/>
        <v>5, 6, 2, 126, 2, 2,		// 230 - 'Tau'</v>
      </c>
      <c r="AF234" s="4"/>
    </row>
    <row r="235" spans="1:32"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7"/>
        <v>5</v>
      </c>
      <c r="Q235" s="4">
        <f t="shared" si="48"/>
        <v>0</v>
      </c>
      <c r="R235" s="4">
        <f t="shared" si="49"/>
        <v>5</v>
      </c>
      <c r="S235" s="8" t="str">
        <f t="shared" si="50"/>
        <v>, 153</v>
      </c>
      <c r="T235" s="8" t="str">
        <f t="shared" si="51"/>
        <v>, 165</v>
      </c>
      <c r="U235" s="8" t="str">
        <f t="shared" si="52"/>
        <v>, 231</v>
      </c>
      <c r="V235" s="8" t="str">
        <f t="shared" si="53"/>
        <v>, 165</v>
      </c>
      <c r="W235" s="8" t="str">
        <f t="shared" si="54"/>
        <v>, 153</v>
      </c>
      <c r="X235" s="8" t="str">
        <f t="shared" si="55"/>
        <v/>
      </c>
      <c r="Y235" s="8" t="str">
        <f t="shared" si="56"/>
        <v/>
      </c>
      <c r="Z235" s="8" t="str">
        <f t="shared" si="57"/>
        <v/>
      </c>
      <c r="AA235" s="8" t="str">
        <f t="shared" si="58"/>
        <v/>
      </c>
      <c r="AB235" s="8" t="str">
        <f t="shared" si="59"/>
        <v/>
      </c>
      <c r="AC235" s="5" t="str">
        <f t="shared" si="60"/>
        <v>,		// 231</v>
      </c>
      <c r="AD235" s="4"/>
      <c r="AE235" s="31" t="str">
        <f t="shared" si="61"/>
        <v>5, 153, 165, 231, 165, 153,		// 231</v>
      </c>
      <c r="AF235" s="4"/>
    </row>
    <row r="236" spans="1:32"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7"/>
        <v>5</v>
      </c>
      <c r="Q236" s="4">
        <f t="shared" si="48"/>
        <v>0</v>
      </c>
      <c r="R236" s="4">
        <f t="shared" si="49"/>
        <v>5</v>
      </c>
      <c r="S236" s="8" t="str">
        <f t="shared" si="50"/>
        <v>, 28</v>
      </c>
      <c r="T236" s="8" t="str">
        <f t="shared" si="51"/>
        <v>, 42</v>
      </c>
      <c r="U236" s="8" t="str">
        <f t="shared" si="52"/>
        <v>, 73</v>
      </c>
      <c r="V236" s="8" t="str">
        <f t="shared" si="53"/>
        <v>, 42</v>
      </c>
      <c r="W236" s="8" t="str">
        <f t="shared" si="54"/>
        <v>, 28</v>
      </c>
      <c r="X236" s="8" t="str">
        <f t="shared" si="55"/>
        <v/>
      </c>
      <c r="Y236" s="8" t="str">
        <f t="shared" si="56"/>
        <v/>
      </c>
      <c r="Z236" s="8" t="str">
        <f t="shared" si="57"/>
        <v/>
      </c>
      <c r="AA236" s="8" t="str">
        <f t="shared" si="58"/>
        <v/>
      </c>
      <c r="AB236" s="8" t="str">
        <f t="shared" si="59"/>
        <v/>
      </c>
      <c r="AC236" s="5" t="str">
        <f t="shared" si="60"/>
        <v>,		// 232</v>
      </c>
      <c r="AD236" s="4"/>
      <c r="AE236" s="31" t="str">
        <f t="shared" si="61"/>
        <v>5, 28, 42, 73, 42, 28,		// 232</v>
      </c>
      <c r="AF236" s="4"/>
    </row>
    <row r="237" spans="1:32"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7"/>
        <v>5</v>
      </c>
      <c r="Q237" s="4">
        <f t="shared" si="48"/>
        <v>0</v>
      </c>
      <c r="R237" s="4">
        <f t="shared" si="49"/>
        <v>5</v>
      </c>
      <c r="S237" s="8" t="str">
        <f t="shared" si="50"/>
        <v>, 76</v>
      </c>
      <c r="T237" s="8" t="str">
        <f t="shared" si="51"/>
        <v>, 114</v>
      </c>
      <c r="U237" s="8" t="str">
        <f t="shared" si="52"/>
        <v>, 1</v>
      </c>
      <c r="V237" s="8" t="str">
        <f t="shared" si="53"/>
        <v>, 114</v>
      </c>
      <c r="W237" s="8" t="str">
        <f t="shared" si="54"/>
        <v>, 76</v>
      </c>
      <c r="X237" s="8" t="str">
        <f t="shared" si="55"/>
        <v/>
      </c>
      <c r="Y237" s="8" t="str">
        <f t="shared" si="56"/>
        <v/>
      </c>
      <c r="Z237" s="8" t="str">
        <f t="shared" si="57"/>
        <v/>
      </c>
      <c r="AA237" s="8" t="str">
        <f t="shared" si="58"/>
        <v/>
      </c>
      <c r="AB237" s="8" t="str">
        <f t="shared" si="59"/>
        <v/>
      </c>
      <c r="AC237" s="5" t="str">
        <f t="shared" si="60"/>
        <v>,		// 233</v>
      </c>
      <c r="AD237" s="4"/>
      <c r="AE237" s="31" t="str">
        <f t="shared" si="61"/>
        <v>5, 76, 114, 1, 114, 76,		// 233</v>
      </c>
      <c r="AF237" s="4"/>
    </row>
    <row r="238" spans="1:32"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7"/>
        <v>5</v>
      </c>
      <c r="Q238" s="4">
        <f t="shared" si="48"/>
        <v>0</v>
      </c>
      <c r="R238" s="4">
        <f t="shared" si="49"/>
        <v>5</v>
      </c>
      <c r="S238" s="8" t="str">
        <f t="shared" si="50"/>
        <v>, 48</v>
      </c>
      <c r="T238" s="8" t="str">
        <f t="shared" si="51"/>
        <v>, 74</v>
      </c>
      <c r="U238" s="8" t="str">
        <f t="shared" si="52"/>
        <v>, 77</v>
      </c>
      <c r="V238" s="8" t="str">
        <f t="shared" si="53"/>
        <v>, 77</v>
      </c>
      <c r="W238" s="8" t="str">
        <f t="shared" si="54"/>
        <v>, 48</v>
      </c>
      <c r="X238" s="8" t="str">
        <f t="shared" si="55"/>
        <v/>
      </c>
      <c r="Y238" s="8" t="str">
        <f t="shared" si="56"/>
        <v/>
      </c>
      <c r="Z238" s="8" t="str">
        <f t="shared" si="57"/>
        <v/>
      </c>
      <c r="AA238" s="8" t="str">
        <f t="shared" si="58"/>
        <v/>
      </c>
      <c r="AB238" s="8" t="str">
        <f t="shared" si="59"/>
        <v/>
      </c>
      <c r="AC238" s="5" t="str">
        <f t="shared" si="60"/>
        <v>,		// 234</v>
      </c>
      <c r="AD238" s="4"/>
      <c r="AE238" s="31" t="str">
        <f t="shared" si="61"/>
        <v>5, 48, 74, 77, 77, 48,		// 234</v>
      </c>
      <c r="AF238" s="4"/>
    </row>
    <row r="239" spans="1:32"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7"/>
        <v>5</v>
      </c>
      <c r="Q239" s="4">
        <f t="shared" si="48"/>
        <v>0</v>
      </c>
      <c r="R239" s="4">
        <f t="shared" si="49"/>
        <v>5</v>
      </c>
      <c r="S239" s="8" t="str">
        <f t="shared" si="50"/>
        <v>, 48</v>
      </c>
      <c r="T239" s="8" t="str">
        <f t="shared" si="51"/>
        <v>, 72</v>
      </c>
      <c r="U239" s="8" t="str">
        <f t="shared" si="52"/>
        <v>, 120</v>
      </c>
      <c r="V239" s="8" t="str">
        <f t="shared" si="53"/>
        <v>, 72</v>
      </c>
      <c r="W239" s="8" t="str">
        <f t="shared" si="54"/>
        <v>, 48</v>
      </c>
      <c r="X239" s="8" t="str">
        <f t="shared" si="55"/>
        <v/>
      </c>
      <c r="Y239" s="8" t="str">
        <f t="shared" si="56"/>
        <v/>
      </c>
      <c r="Z239" s="8" t="str">
        <f t="shared" si="57"/>
        <v/>
      </c>
      <c r="AA239" s="8" t="str">
        <f t="shared" si="58"/>
        <v/>
      </c>
      <c r="AB239" s="8" t="str">
        <f t="shared" si="59"/>
        <v/>
      </c>
      <c r="AC239" s="5" t="str">
        <f t="shared" si="60"/>
        <v>,		// 235</v>
      </c>
      <c r="AD239" s="4"/>
      <c r="AE239" s="31" t="str">
        <f t="shared" si="61"/>
        <v>5, 48, 72, 120, 72, 48,		// 235</v>
      </c>
      <c r="AF239" s="4"/>
    </row>
    <row r="240" spans="1:32"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7"/>
        <v>5</v>
      </c>
      <c r="Q240" s="4">
        <f t="shared" si="48"/>
        <v>0</v>
      </c>
      <c r="R240" s="4">
        <f t="shared" si="49"/>
        <v>5</v>
      </c>
      <c r="S240" s="8" t="str">
        <f t="shared" si="50"/>
        <v>, 188</v>
      </c>
      <c r="T240" s="8" t="str">
        <f t="shared" si="51"/>
        <v>, 98</v>
      </c>
      <c r="U240" s="8" t="str">
        <f t="shared" si="52"/>
        <v>, 90</v>
      </c>
      <c r="V240" s="8" t="str">
        <f t="shared" si="53"/>
        <v>, 70</v>
      </c>
      <c r="W240" s="8" t="str">
        <f t="shared" si="54"/>
        <v>, 61</v>
      </c>
      <c r="X240" s="8" t="str">
        <f t="shared" si="55"/>
        <v/>
      </c>
      <c r="Y240" s="8" t="str">
        <f t="shared" si="56"/>
        <v/>
      </c>
      <c r="Z240" s="8" t="str">
        <f t="shared" si="57"/>
        <v/>
      </c>
      <c r="AA240" s="8" t="str">
        <f t="shared" si="58"/>
        <v/>
      </c>
      <c r="AB240" s="8" t="str">
        <f t="shared" si="59"/>
        <v/>
      </c>
      <c r="AC240" s="5" t="str">
        <f t="shared" si="60"/>
        <v>,		// 236 - 'Zero Slashed'</v>
      </c>
      <c r="AD240" s="4"/>
      <c r="AE240" s="31" t="str">
        <f t="shared" si="61"/>
        <v>5, 188, 98, 90, 70, 61,		// 236 - 'Zero Slashed'</v>
      </c>
      <c r="AF240" s="4"/>
    </row>
    <row r="241" spans="1:32"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7"/>
        <v>4</v>
      </c>
      <c r="Q241" s="4">
        <f t="shared" si="48"/>
        <v>0</v>
      </c>
      <c r="R241" s="4">
        <f t="shared" si="49"/>
        <v>4</v>
      </c>
      <c r="S241" s="8" t="str">
        <f t="shared" si="50"/>
        <v>, 62</v>
      </c>
      <c r="T241" s="8" t="str">
        <f t="shared" si="51"/>
        <v>, 73</v>
      </c>
      <c r="U241" s="8" t="str">
        <f t="shared" si="52"/>
        <v>, 73</v>
      </c>
      <c r="V241" s="8" t="str">
        <f t="shared" si="53"/>
        <v>, 73</v>
      </c>
      <c r="W241" s="8" t="str">
        <f t="shared" si="54"/>
        <v/>
      </c>
      <c r="X241" s="8" t="str">
        <f t="shared" si="55"/>
        <v/>
      </c>
      <c r="Y241" s="8" t="str">
        <f t="shared" si="56"/>
        <v/>
      </c>
      <c r="Z241" s="8" t="str">
        <f t="shared" si="57"/>
        <v/>
      </c>
      <c r="AA241" s="8" t="str">
        <f t="shared" si="58"/>
        <v/>
      </c>
      <c r="AB241" s="8" t="str">
        <f t="shared" si="59"/>
        <v/>
      </c>
      <c r="AC241" s="5" t="str">
        <f t="shared" si="60"/>
        <v>,		// 237</v>
      </c>
      <c r="AD241" s="4"/>
      <c r="AE241" s="31" t="str">
        <f t="shared" si="61"/>
        <v>4, 62, 73, 73, 73,		// 237</v>
      </c>
      <c r="AF241" s="4"/>
    </row>
    <row r="242" spans="1:32"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7"/>
        <v>5</v>
      </c>
      <c r="Q242" s="4">
        <f t="shared" si="48"/>
        <v>0</v>
      </c>
      <c r="R242" s="4">
        <f t="shared" si="49"/>
        <v>5</v>
      </c>
      <c r="S242" s="8" t="str">
        <f t="shared" si="50"/>
        <v>, 126</v>
      </c>
      <c r="T242" s="8" t="str">
        <f t="shared" si="51"/>
        <v>, 1</v>
      </c>
      <c r="U242" s="8" t="str">
        <f t="shared" si="52"/>
        <v>, 1</v>
      </c>
      <c r="V242" s="8" t="str">
        <f t="shared" si="53"/>
        <v>, 1</v>
      </c>
      <c r="W242" s="8" t="str">
        <f t="shared" si="54"/>
        <v>, 126</v>
      </c>
      <c r="X242" s="8" t="str">
        <f t="shared" si="55"/>
        <v/>
      </c>
      <c r="Y242" s="8" t="str">
        <f t="shared" si="56"/>
        <v/>
      </c>
      <c r="Z242" s="8" t="str">
        <f t="shared" si="57"/>
        <v/>
      </c>
      <c r="AA242" s="8" t="str">
        <f t="shared" si="58"/>
        <v/>
      </c>
      <c r="AB242" s="8" t="str">
        <f t="shared" si="59"/>
        <v/>
      </c>
      <c r="AC242" s="5" t="str">
        <f t="shared" si="60"/>
        <v>,		// 238</v>
      </c>
      <c r="AD242" s="4"/>
      <c r="AE242" s="31" t="str">
        <f t="shared" si="61"/>
        <v>5, 126, 1, 1, 1, 126,		// 238</v>
      </c>
      <c r="AF242" s="4"/>
    </row>
    <row r="243" spans="1:32" x14ac:dyDescent="0.25">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7"/>
        <v>5</v>
      </c>
      <c r="Q243" s="4">
        <f t="shared" si="48"/>
        <v>0</v>
      </c>
      <c r="R243" s="4">
        <f t="shared" si="49"/>
        <v>5</v>
      </c>
      <c r="S243" s="8" t="str">
        <f t="shared" si="50"/>
        <v>, 42</v>
      </c>
      <c r="T243" s="8" t="str">
        <f t="shared" si="51"/>
        <v>, 42</v>
      </c>
      <c r="U243" s="8" t="str">
        <f t="shared" si="52"/>
        <v>, 42</v>
      </c>
      <c r="V243" s="8" t="str">
        <f t="shared" si="53"/>
        <v>, 42</v>
      </c>
      <c r="W243" s="8" t="str">
        <f t="shared" si="54"/>
        <v>, 42</v>
      </c>
      <c r="X243" s="8" t="str">
        <f t="shared" si="55"/>
        <v/>
      </c>
      <c r="Y243" s="8" t="str">
        <f t="shared" si="56"/>
        <v/>
      </c>
      <c r="Z243" s="8" t="str">
        <f t="shared" si="57"/>
        <v/>
      </c>
      <c r="AA243" s="8" t="str">
        <f t="shared" si="58"/>
        <v/>
      </c>
      <c r="AB243" s="8" t="str">
        <f t="shared" si="59"/>
        <v/>
      </c>
      <c r="AC243" s="5" t="str">
        <f t="shared" si="60"/>
        <v>,		// 239 - '3 Bar Equals'</v>
      </c>
      <c r="AD243" s="4"/>
      <c r="AE243" s="31" t="str">
        <f t="shared" si="61"/>
        <v>5, 42, 42, 42, 42, 42,		// 239 - '3 Bar Equals'</v>
      </c>
      <c r="AF243" s="4"/>
    </row>
    <row r="244" spans="1:32" x14ac:dyDescent="0.25">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7"/>
        <v>5</v>
      </c>
      <c r="Q244" s="4">
        <f t="shared" si="48"/>
        <v>0</v>
      </c>
      <c r="R244" s="4">
        <f t="shared" si="49"/>
        <v>5</v>
      </c>
      <c r="S244" s="8" t="str">
        <f t="shared" si="50"/>
        <v>, 68</v>
      </c>
      <c r="T244" s="8" t="str">
        <f t="shared" si="51"/>
        <v>, 68</v>
      </c>
      <c r="U244" s="8" t="str">
        <f t="shared" si="52"/>
        <v>, 95</v>
      </c>
      <c r="V244" s="8" t="str">
        <f t="shared" si="53"/>
        <v>, 68</v>
      </c>
      <c r="W244" s="8" t="str">
        <f t="shared" si="54"/>
        <v>, 68</v>
      </c>
      <c r="X244" s="8" t="str">
        <f t="shared" si="55"/>
        <v/>
      </c>
      <c r="Y244" s="8" t="str">
        <f t="shared" si="56"/>
        <v/>
      </c>
      <c r="Z244" s="8" t="str">
        <f t="shared" si="57"/>
        <v/>
      </c>
      <c r="AA244" s="8" t="str">
        <f t="shared" si="58"/>
        <v/>
      </c>
      <c r="AB244" s="8" t="str">
        <f t="shared" si="59"/>
        <v/>
      </c>
      <c r="AC244" s="5" t="str">
        <f t="shared" si="60"/>
        <v>,		// 240 - '+/-'</v>
      </c>
      <c r="AD244" s="4"/>
      <c r="AE244" s="31" t="str">
        <f t="shared" si="61"/>
        <v>5, 68, 68, 95, 68, 68,		// 240 - '+/-'</v>
      </c>
      <c r="AF244" s="4"/>
    </row>
    <row r="245" spans="1:32"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7"/>
        <v>5</v>
      </c>
      <c r="Q245" s="4">
        <f t="shared" si="48"/>
        <v>0</v>
      </c>
      <c r="R245" s="4">
        <f t="shared" si="49"/>
        <v>5</v>
      </c>
      <c r="S245" s="8" t="str">
        <f t="shared" si="50"/>
        <v>, 64</v>
      </c>
      <c r="T245" s="8" t="str">
        <f t="shared" si="51"/>
        <v>, 81</v>
      </c>
      <c r="U245" s="8" t="str">
        <f t="shared" si="52"/>
        <v>, 74</v>
      </c>
      <c r="V245" s="8" t="str">
        <f t="shared" si="53"/>
        <v>, 68</v>
      </c>
      <c r="W245" s="8" t="str">
        <f t="shared" si="54"/>
        <v>, 64</v>
      </c>
      <c r="X245" s="8" t="str">
        <f t="shared" si="55"/>
        <v/>
      </c>
      <c r="Y245" s="8" t="str">
        <f t="shared" si="56"/>
        <v/>
      </c>
      <c r="Z245" s="8" t="str">
        <f t="shared" si="57"/>
        <v/>
      </c>
      <c r="AA245" s="8" t="str">
        <f t="shared" si="58"/>
        <v/>
      </c>
      <c r="AB245" s="8" t="str">
        <f t="shared" si="59"/>
        <v/>
      </c>
      <c r="AC245" s="5" t="str">
        <f t="shared" si="60"/>
        <v>,		// 241 - '&gt;='</v>
      </c>
      <c r="AD245" s="4"/>
      <c r="AE245" s="31" t="str">
        <f t="shared" si="61"/>
        <v>5, 64, 81, 74, 68, 64,		// 241 - '&gt;='</v>
      </c>
      <c r="AF245" s="4"/>
    </row>
    <row r="246" spans="1:32"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7"/>
        <v>5</v>
      </c>
      <c r="Q246" s="4">
        <f t="shared" si="48"/>
        <v>0</v>
      </c>
      <c r="R246" s="4">
        <f t="shared" si="49"/>
        <v>5</v>
      </c>
      <c r="S246" s="8" t="str">
        <f t="shared" si="50"/>
        <v>, 64</v>
      </c>
      <c r="T246" s="8" t="str">
        <f t="shared" si="51"/>
        <v>, 68</v>
      </c>
      <c r="U246" s="8" t="str">
        <f t="shared" si="52"/>
        <v>, 74</v>
      </c>
      <c r="V246" s="8" t="str">
        <f t="shared" si="53"/>
        <v>, 81</v>
      </c>
      <c r="W246" s="8" t="str">
        <f t="shared" si="54"/>
        <v>, 64</v>
      </c>
      <c r="X246" s="8" t="str">
        <f t="shared" si="55"/>
        <v/>
      </c>
      <c r="Y246" s="8" t="str">
        <f t="shared" si="56"/>
        <v/>
      </c>
      <c r="Z246" s="8" t="str">
        <f t="shared" si="57"/>
        <v/>
      </c>
      <c r="AA246" s="8" t="str">
        <f t="shared" si="58"/>
        <v/>
      </c>
      <c r="AB246" s="8" t="str">
        <f t="shared" si="59"/>
        <v/>
      </c>
      <c r="AC246" s="5" t="str">
        <f t="shared" si="60"/>
        <v>,		// 242 - '&lt;='</v>
      </c>
      <c r="AD246" s="4"/>
      <c r="AE246" s="31" t="str">
        <f t="shared" si="61"/>
        <v>5, 64, 68, 74, 81, 64,		// 242 - '&lt;='</v>
      </c>
      <c r="AF246" s="4"/>
    </row>
    <row r="247" spans="1:32" x14ac:dyDescent="0.25">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7"/>
        <v>5</v>
      </c>
      <c r="Q247" s="4">
        <f t="shared" si="48"/>
        <v>0</v>
      </c>
      <c r="R247" s="4">
        <f t="shared" si="49"/>
        <v>5</v>
      </c>
      <c r="S247" s="8" t="str">
        <f t="shared" si="50"/>
        <v>, 0</v>
      </c>
      <c r="T247" s="8" t="str">
        <f t="shared" si="51"/>
        <v>, 0</v>
      </c>
      <c r="U247" s="8" t="str">
        <f t="shared" si="52"/>
        <v>, 255</v>
      </c>
      <c r="V247" s="8" t="str">
        <f t="shared" si="53"/>
        <v>, 1</v>
      </c>
      <c r="W247" s="8" t="str">
        <f t="shared" si="54"/>
        <v>, 3</v>
      </c>
      <c r="X247" s="8" t="str">
        <f t="shared" si="55"/>
        <v/>
      </c>
      <c r="Y247" s="8" t="str">
        <f t="shared" si="56"/>
        <v/>
      </c>
      <c r="Z247" s="8" t="str">
        <f t="shared" si="57"/>
        <v/>
      </c>
      <c r="AA247" s="8" t="str">
        <f t="shared" si="58"/>
        <v/>
      </c>
      <c r="AB247" s="8" t="str">
        <f t="shared" si="59"/>
        <v/>
      </c>
      <c r="AC247" s="5" t="str">
        <f t="shared" si="60"/>
        <v>,		// 243 - 'Top of Integral'</v>
      </c>
      <c r="AD247" s="4"/>
      <c r="AE247" s="31" t="str">
        <f t="shared" si="61"/>
        <v>5, 0, 0, 255, 1, 3,		// 243 - 'Top of Integral'</v>
      </c>
      <c r="AF247" s="4"/>
    </row>
    <row r="248" spans="1:32" x14ac:dyDescent="0.25">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7"/>
        <v>3</v>
      </c>
      <c r="Q248" s="4">
        <f t="shared" si="48"/>
        <v>0</v>
      </c>
      <c r="R248" s="4">
        <f t="shared" si="49"/>
        <v>3</v>
      </c>
      <c r="S248" s="8" t="str">
        <f t="shared" si="50"/>
        <v>, 224</v>
      </c>
      <c r="T248" s="8" t="str">
        <f t="shared" si="51"/>
        <v>, 128</v>
      </c>
      <c r="U248" s="8" t="str">
        <f t="shared" si="52"/>
        <v>, 255</v>
      </c>
      <c r="V248" s="8" t="str">
        <f t="shared" si="53"/>
        <v/>
      </c>
      <c r="W248" s="8" t="str">
        <f t="shared" si="54"/>
        <v/>
      </c>
      <c r="X248" s="8" t="str">
        <f t="shared" si="55"/>
        <v/>
      </c>
      <c r="Y248" s="8" t="str">
        <f t="shared" si="56"/>
        <v/>
      </c>
      <c r="Z248" s="8" t="str">
        <f t="shared" si="57"/>
        <v/>
      </c>
      <c r="AA248" s="8" t="str">
        <f t="shared" si="58"/>
        <v/>
      </c>
      <c r="AB248" s="8" t="str">
        <f t="shared" si="59"/>
        <v/>
      </c>
      <c r="AC248" s="5" t="str">
        <f t="shared" si="60"/>
        <v>,		// 244 - 'Bot of Integral'</v>
      </c>
      <c r="AD248" s="4"/>
      <c r="AE248" s="31" t="str">
        <f t="shared" si="61"/>
        <v>3, 224, 128, 255,		// 244 - 'Bot of Integral'</v>
      </c>
      <c r="AF248" s="4"/>
    </row>
    <row r="249" spans="1:32" x14ac:dyDescent="0.25">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7"/>
        <v>5</v>
      </c>
      <c r="Q249" s="4">
        <f t="shared" si="48"/>
        <v>0</v>
      </c>
      <c r="R249" s="4">
        <f t="shared" si="49"/>
        <v>5</v>
      </c>
      <c r="S249" s="8" t="str">
        <f t="shared" si="50"/>
        <v>, 8</v>
      </c>
      <c r="T249" s="8" t="str">
        <f t="shared" si="51"/>
        <v>, 8</v>
      </c>
      <c r="U249" s="8" t="str">
        <f t="shared" si="52"/>
        <v>, 107</v>
      </c>
      <c r="V249" s="8" t="str">
        <f t="shared" si="53"/>
        <v>, 107</v>
      </c>
      <c r="W249" s="8" t="str">
        <f t="shared" si="54"/>
        <v>, 8</v>
      </c>
      <c r="X249" s="8" t="str">
        <f t="shared" si="55"/>
        <v/>
      </c>
      <c r="Y249" s="8" t="str">
        <f t="shared" si="56"/>
        <v/>
      </c>
      <c r="Z249" s="8" t="str">
        <f t="shared" si="57"/>
        <v/>
      </c>
      <c r="AA249" s="8" t="str">
        <f t="shared" si="58"/>
        <v/>
      </c>
      <c r="AB249" s="8" t="str">
        <f t="shared" si="59"/>
        <v/>
      </c>
      <c r="AC249" s="5" t="str">
        <f t="shared" si="60"/>
        <v>,		// 245 - 'Divide'</v>
      </c>
      <c r="AD249" s="4"/>
      <c r="AE249" s="31" t="str">
        <f t="shared" si="61"/>
        <v>5, 8, 8, 107, 107, 8,		// 245 - 'Divide'</v>
      </c>
      <c r="AF249" s="4"/>
    </row>
    <row r="250" spans="1:32" x14ac:dyDescent="0.25">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7"/>
        <v>5</v>
      </c>
      <c r="Q250" s="4">
        <f t="shared" si="48"/>
        <v>0</v>
      </c>
      <c r="R250" s="4">
        <f t="shared" si="49"/>
        <v>5</v>
      </c>
      <c r="S250" s="8" t="str">
        <f t="shared" si="50"/>
        <v>, 54</v>
      </c>
      <c r="T250" s="8" t="str">
        <f t="shared" si="51"/>
        <v>, 18</v>
      </c>
      <c r="U250" s="8" t="str">
        <f t="shared" si="52"/>
        <v>, 54</v>
      </c>
      <c r="V250" s="8" t="str">
        <f t="shared" si="53"/>
        <v>, 36</v>
      </c>
      <c r="W250" s="8" t="str">
        <f t="shared" si="54"/>
        <v>, 54</v>
      </c>
      <c r="X250" s="8" t="str">
        <f t="shared" si="55"/>
        <v/>
      </c>
      <c r="Y250" s="8" t="str">
        <f t="shared" si="56"/>
        <v/>
      </c>
      <c r="Z250" s="8" t="str">
        <f t="shared" si="57"/>
        <v/>
      </c>
      <c r="AA250" s="8" t="str">
        <f t="shared" si="58"/>
        <v/>
      </c>
      <c r="AB250" s="8" t="str">
        <f t="shared" si="59"/>
        <v/>
      </c>
      <c r="AC250" s="5" t="str">
        <f t="shared" si="60"/>
        <v>,		// 246 - 'Wavy ='</v>
      </c>
      <c r="AD250" s="4"/>
      <c r="AE250" s="31" t="str">
        <f t="shared" si="61"/>
        <v>5, 54, 18, 54, 36, 54,		// 246 - 'Wavy ='</v>
      </c>
      <c r="AF250" s="4"/>
    </row>
    <row r="251" spans="1:32"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7"/>
        <v>5</v>
      </c>
      <c r="Q251" s="4">
        <f t="shared" si="48"/>
        <v>0</v>
      </c>
      <c r="R251" s="4">
        <f t="shared" si="49"/>
        <v>5</v>
      </c>
      <c r="S251" s="8" t="str">
        <f t="shared" si="50"/>
        <v>, 6</v>
      </c>
      <c r="T251" s="8" t="str">
        <f t="shared" si="51"/>
        <v>, 15</v>
      </c>
      <c r="U251" s="8" t="str">
        <f t="shared" si="52"/>
        <v>, 9</v>
      </c>
      <c r="V251" s="8" t="str">
        <f t="shared" si="53"/>
        <v>, 15</v>
      </c>
      <c r="W251" s="8" t="str">
        <f t="shared" si="54"/>
        <v>, 6</v>
      </c>
      <c r="X251" s="8" t="str">
        <f t="shared" si="55"/>
        <v/>
      </c>
      <c r="Y251" s="8" t="str">
        <f t="shared" si="56"/>
        <v/>
      </c>
      <c r="Z251" s="8" t="str">
        <f t="shared" si="57"/>
        <v/>
      </c>
      <c r="AA251" s="8" t="str">
        <f t="shared" si="58"/>
        <v/>
      </c>
      <c r="AB251" s="8" t="str">
        <f t="shared" si="59"/>
        <v/>
      </c>
      <c r="AC251" s="5" t="str">
        <f t="shared" si="60"/>
        <v>,		// 247 - 'Degree'</v>
      </c>
      <c r="AD251" s="4"/>
      <c r="AE251" s="31" t="str">
        <f t="shared" si="61"/>
        <v>5, 6, 15, 9, 15, 6,		// 247 - 'Degree'</v>
      </c>
      <c r="AF251" s="4"/>
    </row>
    <row r="252" spans="1:32" x14ac:dyDescent="0.25">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7"/>
        <v>4</v>
      </c>
      <c r="Q252" s="4">
        <f t="shared" si="48"/>
        <v>0</v>
      </c>
      <c r="R252" s="4">
        <f t="shared" si="49"/>
        <v>4</v>
      </c>
      <c r="S252" s="8" t="str">
        <f t="shared" si="50"/>
        <v>, 0</v>
      </c>
      <c r="T252" s="8" t="str">
        <f t="shared" si="51"/>
        <v>, 0</v>
      </c>
      <c r="U252" s="8" t="str">
        <f t="shared" si="52"/>
        <v>, 24</v>
      </c>
      <c r="V252" s="8" t="str">
        <f t="shared" si="53"/>
        <v>, 24</v>
      </c>
      <c r="W252" s="8" t="str">
        <f t="shared" si="54"/>
        <v/>
      </c>
      <c r="X252" s="8" t="str">
        <f t="shared" si="55"/>
        <v/>
      </c>
      <c r="Y252" s="8" t="str">
        <f t="shared" si="56"/>
        <v/>
      </c>
      <c r="Z252" s="8" t="str">
        <f t="shared" si="57"/>
        <v/>
      </c>
      <c r="AA252" s="8" t="str">
        <f t="shared" si="58"/>
        <v/>
      </c>
      <c r="AB252" s="8" t="str">
        <f t="shared" si="59"/>
        <v/>
      </c>
      <c r="AC252" s="5" t="str">
        <f t="shared" si="60"/>
        <v>,		// 248 - 'Math Product'</v>
      </c>
      <c r="AD252" s="4"/>
      <c r="AE252" s="31" t="str">
        <f t="shared" si="61"/>
        <v>4, 0, 0, 24, 24,		// 248 - 'Math Product'</v>
      </c>
      <c r="AF252" s="4"/>
    </row>
    <row r="253" spans="1:32"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7"/>
        <v>4</v>
      </c>
      <c r="Q253" s="4">
        <f t="shared" si="48"/>
        <v>0</v>
      </c>
      <c r="R253" s="4">
        <f t="shared" si="49"/>
        <v>4</v>
      </c>
      <c r="S253" s="8" t="str">
        <f t="shared" si="50"/>
        <v>, 0</v>
      </c>
      <c r="T253" s="8" t="str">
        <f t="shared" si="51"/>
        <v>, 0</v>
      </c>
      <c r="U253" s="8" t="str">
        <f t="shared" si="52"/>
        <v>, 16</v>
      </c>
      <c r="V253" s="8" t="str">
        <f t="shared" si="53"/>
        <v>, 16</v>
      </c>
      <c r="W253" s="8" t="str">
        <f t="shared" si="54"/>
        <v/>
      </c>
      <c r="X253" s="8" t="str">
        <f t="shared" si="55"/>
        <v/>
      </c>
      <c r="Y253" s="8" t="str">
        <f t="shared" si="56"/>
        <v/>
      </c>
      <c r="Z253" s="8" t="str">
        <f t="shared" si="57"/>
        <v/>
      </c>
      <c r="AA253" s="8" t="str">
        <f t="shared" si="58"/>
        <v/>
      </c>
      <c r="AB253" s="8" t="str">
        <f t="shared" si="59"/>
        <v/>
      </c>
      <c r="AC253" s="5" t="str">
        <f t="shared" si="60"/>
        <v>,		// 249 - 'Short Dash'</v>
      </c>
      <c r="AD253" s="4"/>
      <c r="AE253" s="31" t="str">
        <f t="shared" si="61"/>
        <v>4, 0, 0, 16, 16,		// 249 - 'Short Dash'</v>
      </c>
      <c r="AF253" s="4"/>
    </row>
    <row r="254" spans="1:32"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7"/>
        <v>5</v>
      </c>
      <c r="Q254" s="4">
        <f t="shared" si="48"/>
        <v>0</v>
      </c>
      <c r="R254" s="4">
        <f t="shared" si="49"/>
        <v>5</v>
      </c>
      <c r="S254" s="8" t="str">
        <f t="shared" si="50"/>
        <v>, 48</v>
      </c>
      <c r="T254" s="8" t="str">
        <f t="shared" si="51"/>
        <v>, 64</v>
      </c>
      <c r="U254" s="8" t="str">
        <f t="shared" si="52"/>
        <v>, 255</v>
      </c>
      <c r="V254" s="8" t="str">
        <f t="shared" si="53"/>
        <v>, 1</v>
      </c>
      <c r="W254" s="8" t="str">
        <f t="shared" si="54"/>
        <v>, 1</v>
      </c>
      <c r="X254" s="8" t="str">
        <f t="shared" si="55"/>
        <v/>
      </c>
      <c r="Y254" s="8" t="str">
        <f t="shared" si="56"/>
        <v/>
      </c>
      <c r="Z254" s="8" t="str">
        <f t="shared" si="57"/>
        <v/>
      </c>
      <c r="AA254" s="8" t="str">
        <f t="shared" si="58"/>
        <v/>
      </c>
      <c r="AB254" s="8" t="str">
        <f t="shared" si="59"/>
        <v/>
      </c>
      <c r="AC254" s="5" t="str">
        <f t="shared" si="60"/>
        <v>,		// 250 - 'Square Root'</v>
      </c>
      <c r="AD254" s="4"/>
      <c r="AE254" s="31" t="str">
        <f t="shared" si="61"/>
        <v>5, 48, 64, 255, 1, 1,		// 250 - 'Square Root'</v>
      </c>
      <c r="AF254" s="4"/>
    </row>
    <row r="255" spans="1:32" x14ac:dyDescent="0.25">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7"/>
        <v>5</v>
      </c>
      <c r="Q255" s="4">
        <f t="shared" si="48"/>
        <v>0</v>
      </c>
      <c r="R255" s="4">
        <f t="shared" si="49"/>
        <v>5</v>
      </c>
      <c r="S255" s="8" t="str">
        <f t="shared" si="50"/>
        <v>, 0</v>
      </c>
      <c r="T255" s="8" t="str">
        <f t="shared" si="51"/>
        <v>, 31</v>
      </c>
      <c r="U255" s="8" t="str">
        <f t="shared" si="52"/>
        <v>, 1</v>
      </c>
      <c r="V255" s="8" t="str">
        <f t="shared" si="53"/>
        <v>, 1</v>
      </c>
      <c r="W255" s="8" t="str">
        <f t="shared" si="54"/>
        <v>, 30</v>
      </c>
      <c r="X255" s="8" t="str">
        <f t="shared" si="55"/>
        <v/>
      </c>
      <c r="Y255" s="8" t="str">
        <f t="shared" si="56"/>
        <v/>
      </c>
      <c r="Z255" s="8" t="str">
        <f t="shared" si="57"/>
        <v/>
      </c>
      <c r="AA255" s="8" t="str">
        <f t="shared" si="58"/>
        <v/>
      </c>
      <c r="AB255" s="8" t="str">
        <f t="shared" si="59"/>
        <v/>
      </c>
      <c r="AC255" s="5" t="str">
        <f t="shared" si="60"/>
        <v>,		// 251 - 'Superscript n'</v>
      </c>
      <c r="AD255" s="4"/>
      <c r="AE255" s="31" t="str">
        <f t="shared" si="61"/>
        <v>5, 0, 31, 1, 1, 30,		// 251 - 'Superscript n'</v>
      </c>
      <c r="AF255" s="4"/>
    </row>
    <row r="256" spans="1:32" x14ac:dyDescent="0.25">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7"/>
        <v>5</v>
      </c>
      <c r="Q256" s="4">
        <f t="shared" si="48"/>
        <v>0</v>
      </c>
      <c r="R256" s="4">
        <f t="shared" si="49"/>
        <v>5</v>
      </c>
      <c r="S256" s="8" t="str">
        <f t="shared" si="50"/>
        <v>, 0</v>
      </c>
      <c r="T256" s="8" t="str">
        <f t="shared" si="51"/>
        <v>, 25</v>
      </c>
      <c r="U256" s="8" t="str">
        <f t="shared" si="52"/>
        <v>, 29</v>
      </c>
      <c r="V256" s="8" t="str">
        <f t="shared" si="53"/>
        <v>, 23</v>
      </c>
      <c r="W256" s="8" t="str">
        <f t="shared" si="54"/>
        <v>, 18</v>
      </c>
      <c r="X256" s="8" t="str">
        <f t="shared" si="55"/>
        <v/>
      </c>
      <c r="Y256" s="8" t="str">
        <f t="shared" si="56"/>
        <v/>
      </c>
      <c r="Z256" s="8" t="str">
        <f t="shared" si="57"/>
        <v/>
      </c>
      <c r="AA256" s="8" t="str">
        <f t="shared" si="58"/>
        <v/>
      </c>
      <c r="AB256" s="8" t="str">
        <f t="shared" si="59"/>
        <v/>
      </c>
      <c r="AC256" s="5" t="str">
        <f t="shared" si="60"/>
        <v>,		// 252 - 'Superscript 2'</v>
      </c>
      <c r="AD256" s="4"/>
      <c r="AE256" s="31" t="str">
        <f t="shared" si="61"/>
        <v>5, 0, 25, 29, 23, 18,		// 252 - 'Superscript 2'</v>
      </c>
      <c r="AF256" s="4"/>
    </row>
    <row r="257" spans="1:32"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7"/>
        <v>5</v>
      </c>
      <c r="Q257" s="4">
        <f t="shared" si="48"/>
        <v>0</v>
      </c>
      <c r="R257" s="4">
        <f t="shared" si="49"/>
        <v>5</v>
      </c>
      <c r="S257" s="8" t="str">
        <f t="shared" si="50"/>
        <v>, 0</v>
      </c>
      <c r="T257" s="8" t="str">
        <f t="shared" si="51"/>
        <v>, 60</v>
      </c>
      <c r="U257" s="8" t="str">
        <f t="shared" si="52"/>
        <v>, 60</v>
      </c>
      <c r="V257" s="8" t="str">
        <f t="shared" si="53"/>
        <v>, 60</v>
      </c>
      <c r="W257" s="8" t="str">
        <f t="shared" si="54"/>
        <v>, 60</v>
      </c>
      <c r="X257" s="8" t="str">
        <f t="shared" si="55"/>
        <v/>
      </c>
      <c r="Y257" s="8" t="str">
        <f t="shared" si="56"/>
        <v/>
      </c>
      <c r="Z257" s="8" t="str">
        <f t="shared" si="57"/>
        <v/>
      </c>
      <c r="AA257" s="8" t="str">
        <f t="shared" si="58"/>
        <v/>
      </c>
      <c r="AB257" s="8" t="str">
        <f t="shared" si="59"/>
        <v/>
      </c>
      <c r="AC257" s="5" t="str">
        <f t="shared" si="60"/>
        <v>,		// 253 - 'Centered Square'</v>
      </c>
      <c r="AD257" s="4"/>
      <c r="AE257" s="31" t="str">
        <f t="shared" si="61"/>
        <v>5, 0, 60, 60, 60, 60,		// 253 - 'Centered Square'</v>
      </c>
      <c r="AF257" s="4"/>
    </row>
    <row r="258" spans="1:32"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7"/>
        <v>5</v>
      </c>
      <c r="Q258" s="4">
        <f t="shared" si="48"/>
        <v>0</v>
      </c>
      <c r="R258" s="4">
        <f t="shared" si="49"/>
        <v>5</v>
      </c>
      <c r="S258" s="8" t="str">
        <f t="shared" si="50"/>
        <v>, 255</v>
      </c>
      <c r="T258" s="8" t="str">
        <f t="shared" si="51"/>
        <v>, 129</v>
      </c>
      <c r="U258" s="8" t="str">
        <f t="shared" si="52"/>
        <v>, 129</v>
      </c>
      <c r="V258" s="8" t="str">
        <f t="shared" si="53"/>
        <v>, 129</v>
      </c>
      <c r="W258" s="8" t="str">
        <f t="shared" si="54"/>
        <v>, 255</v>
      </c>
      <c r="X258" s="8" t="str">
        <f t="shared" si="55"/>
        <v/>
      </c>
      <c r="Y258" s="8" t="str">
        <f t="shared" si="56"/>
        <v/>
      </c>
      <c r="Z258" s="8" t="str">
        <f t="shared" si="57"/>
        <v/>
      </c>
      <c r="AA258" s="8" t="str">
        <f t="shared" si="58"/>
        <v/>
      </c>
      <c r="AB258" s="8" t="str">
        <f t="shared" si="59"/>
        <v/>
      </c>
      <c r="AC258" s="5" t="str">
        <f t="shared" si="60"/>
        <v>,		// 254 - 'Full Frame'</v>
      </c>
      <c r="AD258" s="4"/>
      <c r="AE258" s="31" t="str">
        <f t="shared" si="61"/>
        <v>5, 255, 129, 129, 129, 255,		// 254 - 'Full Frame'</v>
      </c>
      <c r="AF258" s="4"/>
    </row>
    <row r="259" spans="1:32"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7"/>
        <v>5</v>
      </c>
      <c r="Q259" s="4">
        <f t="shared" si="48"/>
        <v>0</v>
      </c>
      <c r="R259" s="4">
        <f t="shared" si="49"/>
        <v>5</v>
      </c>
      <c r="S259" s="8" t="str">
        <f t="shared" si="50"/>
        <v>, 255</v>
      </c>
      <c r="T259" s="8" t="str">
        <f t="shared" si="51"/>
        <v>, 255</v>
      </c>
      <c r="U259" s="8" t="str">
        <f t="shared" si="52"/>
        <v>, 255</v>
      </c>
      <c r="V259" s="8" t="str">
        <f t="shared" si="53"/>
        <v>, 255</v>
      </c>
      <c r="W259" s="8" t="str">
        <f t="shared" si="54"/>
        <v>, 255</v>
      </c>
      <c r="X259" s="8" t="str">
        <f t="shared" si="55"/>
        <v/>
      </c>
      <c r="Y259" s="8" t="str">
        <f t="shared" si="56"/>
        <v/>
      </c>
      <c r="Z259" s="8" t="str">
        <f t="shared" si="57"/>
        <v/>
      </c>
      <c r="AA259" s="8" t="str">
        <f t="shared" si="58"/>
        <v/>
      </c>
      <c r="AB259" s="8" t="str">
        <f t="shared" si="59"/>
        <v/>
      </c>
      <c r="AC259" s="5" t="str">
        <f t="shared" si="60"/>
        <v>,		// 255 - 'Full Block'</v>
      </c>
      <c r="AD259" s="4"/>
      <c r="AE259" s="32" t="str">
        <f>MAX(P259,Q259)&amp;S259&amp;T259&amp;U259&amp;V259&amp;W259&amp;X259&amp;Y259&amp;Z259&amp;AA259&amp;AB259&amp;AC259</f>
        <v>5, 255, 255, 255, 255, 255,		// 255 - 'Full Block'</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752</v>
      </c>
      <c r="C2" s="45">
        <v>0</v>
      </c>
      <c r="D2" s="9">
        <v>0</v>
      </c>
      <c r="E2" s="9">
        <v>0</v>
      </c>
      <c r="F2" s="9">
        <v>0</v>
      </c>
      <c r="G2" s="9">
        <v>0</v>
      </c>
      <c r="H2" s="9">
        <v>0</v>
      </c>
      <c r="I2" s="9">
        <v>0</v>
      </c>
      <c r="J2" s="9">
        <v>0</v>
      </c>
      <c r="K2" s="9">
        <v>0</v>
      </c>
      <c r="L2" s="9">
        <v>0</v>
      </c>
      <c r="M2" s="10">
        <v>0</v>
      </c>
    </row>
    <row r="3" spans="1:13" x14ac:dyDescent="0.25">
      <c r="A3">
        <v>1</v>
      </c>
      <c r="B3" s="37" t="s">
        <v>752</v>
      </c>
      <c r="C3" s="42">
        <v>0</v>
      </c>
      <c r="D3" s="11">
        <v>0</v>
      </c>
      <c r="E3" s="11">
        <v>0</v>
      </c>
      <c r="F3" s="11">
        <v>0</v>
      </c>
      <c r="G3" s="11">
        <v>0</v>
      </c>
      <c r="H3" s="11">
        <v>0</v>
      </c>
      <c r="I3" s="11">
        <v>0</v>
      </c>
      <c r="J3" s="11">
        <v>0</v>
      </c>
      <c r="K3" s="11">
        <v>0</v>
      </c>
      <c r="L3" s="11">
        <v>0</v>
      </c>
      <c r="M3" s="12">
        <v>0</v>
      </c>
    </row>
    <row r="4" spans="1:13" x14ac:dyDescent="0.25">
      <c r="A4">
        <v>2</v>
      </c>
      <c r="B4" s="38" t="s">
        <v>752</v>
      </c>
      <c r="C4" s="42">
        <v>0</v>
      </c>
      <c r="D4" s="11">
        <v>0</v>
      </c>
      <c r="E4" s="11">
        <v>0</v>
      </c>
      <c r="F4" s="11">
        <v>0</v>
      </c>
      <c r="G4" s="11">
        <v>0</v>
      </c>
      <c r="H4" s="11">
        <v>0</v>
      </c>
      <c r="I4" s="11">
        <v>0</v>
      </c>
      <c r="J4" s="11">
        <v>0</v>
      </c>
      <c r="K4" s="11">
        <v>0</v>
      </c>
      <c r="L4" s="11">
        <v>0</v>
      </c>
      <c r="M4" s="12">
        <v>0</v>
      </c>
    </row>
    <row r="5" spans="1:13" x14ac:dyDescent="0.25">
      <c r="A5">
        <v>3</v>
      </c>
      <c r="B5" s="38" t="s">
        <v>752</v>
      </c>
      <c r="C5" s="42">
        <v>0</v>
      </c>
      <c r="D5" s="11">
        <v>0</v>
      </c>
      <c r="E5" s="11">
        <v>0</v>
      </c>
      <c r="F5" s="11">
        <v>0</v>
      </c>
      <c r="G5" s="11">
        <v>0</v>
      </c>
      <c r="H5" s="11">
        <v>0</v>
      </c>
      <c r="I5" s="11">
        <v>0</v>
      </c>
      <c r="J5" s="11">
        <v>0</v>
      </c>
      <c r="K5" s="11">
        <v>0</v>
      </c>
      <c r="L5" s="11">
        <v>0</v>
      </c>
      <c r="M5" s="12">
        <v>0</v>
      </c>
    </row>
    <row r="6" spans="1:13" x14ac:dyDescent="0.25">
      <c r="A6">
        <v>4</v>
      </c>
      <c r="B6" s="38" t="s">
        <v>752</v>
      </c>
      <c r="C6" s="42">
        <v>0</v>
      </c>
      <c r="D6" s="11">
        <v>0</v>
      </c>
      <c r="E6" s="11">
        <v>0</v>
      </c>
      <c r="F6" s="11">
        <v>0</v>
      </c>
      <c r="G6" s="11">
        <v>0</v>
      </c>
      <c r="H6" s="11">
        <v>0</v>
      </c>
      <c r="I6" s="11">
        <v>0</v>
      </c>
      <c r="J6" s="11">
        <v>0</v>
      </c>
      <c r="K6" s="11">
        <v>0</v>
      </c>
      <c r="L6" s="11">
        <v>0</v>
      </c>
      <c r="M6" s="12">
        <v>0</v>
      </c>
    </row>
    <row r="7" spans="1:13" x14ac:dyDescent="0.25">
      <c r="A7">
        <v>5</v>
      </c>
      <c r="B7" s="38" t="s">
        <v>752</v>
      </c>
      <c r="C7" s="42">
        <v>0</v>
      </c>
      <c r="D7" s="11">
        <v>0</v>
      </c>
      <c r="E7" s="11">
        <v>0</v>
      </c>
      <c r="F7" s="11">
        <v>0</v>
      </c>
      <c r="G7" s="11">
        <v>0</v>
      </c>
      <c r="H7" s="11">
        <v>0</v>
      </c>
      <c r="I7" s="11">
        <v>0</v>
      </c>
      <c r="J7" s="11">
        <v>0</v>
      </c>
      <c r="K7" s="11">
        <v>0</v>
      </c>
      <c r="L7" s="11">
        <v>0</v>
      </c>
      <c r="M7" s="12">
        <v>0</v>
      </c>
    </row>
    <row r="8" spans="1:13" x14ac:dyDescent="0.25">
      <c r="A8">
        <v>6</v>
      </c>
      <c r="B8" s="38" t="s">
        <v>752</v>
      </c>
      <c r="C8" s="42">
        <v>0</v>
      </c>
      <c r="D8" s="11">
        <v>0</v>
      </c>
      <c r="E8" s="11">
        <v>0</v>
      </c>
      <c r="F8" s="11">
        <v>0</v>
      </c>
      <c r="G8" s="11">
        <v>0</v>
      </c>
      <c r="H8" s="11">
        <v>0</v>
      </c>
      <c r="I8" s="11">
        <v>0</v>
      </c>
      <c r="J8" s="11">
        <v>0</v>
      </c>
      <c r="K8" s="11">
        <v>0</v>
      </c>
      <c r="L8" s="11">
        <v>0</v>
      </c>
      <c r="M8" s="12">
        <v>0</v>
      </c>
    </row>
    <row r="9" spans="1:13" x14ac:dyDescent="0.25">
      <c r="A9">
        <v>7</v>
      </c>
      <c r="B9" s="38" t="s">
        <v>752</v>
      </c>
      <c r="C9" s="42">
        <v>0</v>
      </c>
      <c r="D9" s="11">
        <v>0</v>
      </c>
      <c r="E9" s="11">
        <v>0</v>
      </c>
      <c r="F9" s="11">
        <v>0</v>
      </c>
      <c r="G9" s="11">
        <v>0</v>
      </c>
      <c r="H9" s="11">
        <v>0</v>
      </c>
      <c r="I9" s="11">
        <v>0</v>
      </c>
      <c r="J9" s="11">
        <v>0</v>
      </c>
      <c r="K9" s="11">
        <v>0</v>
      </c>
      <c r="L9" s="11">
        <v>0</v>
      </c>
      <c r="M9" s="12">
        <v>0</v>
      </c>
    </row>
    <row r="10" spans="1:13" x14ac:dyDescent="0.25">
      <c r="A10">
        <v>8</v>
      </c>
      <c r="B10" s="38" t="s">
        <v>752</v>
      </c>
      <c r="C10" s="42">
        <v>0</v>
      </c>
      <c r="D10" s="11">
        <v>0</v>
      </c>
      <c r="E10" s="11">
        <v>0</v>
      </c>
      <c r="F10" s="11">
        <v>0</v>
      </c>
      <c r="G10" s="11">
        <v>0</v>
      </c>
      <c r="H10" s="11">
        <v>0</v>
      </c>
      <c r="I10" s="11">
        <v>0</v>
      </c>
      <c r="J10" s="11">
        <v>0</v>
      </c>
      <c r="K10" s="11">
        <v>0</v>
      </c>
      <c r="L10" s="11">
        <v>0</v>
      </c>
      <c r="M10" s="12">
        <v>0</v>
      </c>
    </row>
    <row r="11" spans="1:13" x14ac:dyDescent="0.25">
      <c r="A11">
        <v>9</v>
      </c>
      <c r="B11" s="38" t="s">
        <v>752</v>
      </c>
      <c r="C11" s="42">
        <v>0</v>
      </c>
      <c r="D11" s="11">
        <v>0</v>
      </c>
      <c r="E11" s="11">
        <v>0</v>
      </c>
      <c r="F11" s="11">
        <v>0</v>
      </c>
      <c r="G11" s="11">
        <v>0</v>
      </c>
      <c r="H11" s="11">
        <v>0</v>
      </c>
      <c r="I11" s="11">
        <v>0</v>
      </c>
      <c r="J11" s="11">
        <v>0</v>
      </c>
      <c r="K11" s="11">
        <v>0</v>
      </c>
      <c r="L11" s="11">
        <v>0</v>
      </c>
      <c r="M11" s="12">
        <v>0</v>
      </c>
    </row>
    <row r="12" spans="1:13" x14ac:dyDescent="0.25">
      <c r="A12">
        <v>10</v>
      </c>
      <c r="B12" s="38" t="s">
        <v>752</v>
      </c>
      <c r="C12" s="42">
        <v>0</v>
      </c>
      <c r="D12" s="11">
        <v>0</v>
      </c>
      <c r="E12" s="11">
        <v>0</v>
      </c>
      <c r="F12" s="11">
        <v>0</v>
      </c>
      <c r="G12" s="11">
        <v>0</v>
      </c>
      <c r="H12" s="11">
        <v>0</v>
      </c>
      <c r="I12" s="11">
        <v>0</v>
      </c>
      <c r="J12" s="11">
        <v>0</v>
      </c>
      <c r="K12" s="11">
        <v>0</v>
      </c>
      <c r="L12" s="11">
        <v>0</v>
      </c>
      <c r="M12" s="12">
        <v>0</v>
      </c>
    </row>
    <row r="13" spans="1:13" x14ac:dyDescent="0.25">
      <c r="A13">
        <v>11</v>
      </c>
      <c r="B13" s="38" t="s">
        <v>752</v>
      </c>
      <c r="C13" s="42">
        <v>0</v>
      </c>
      <c r="D13" s="11">
        <v>0</v>
      </c>
      <c r="E13" s="11">
        <v>0</v>
      </c>
      <c r="F13" s="11">
        <v>0</v>
      </c>
      <c r="G13" s="11">
        <v>0</v>
      </c>
      <c r="H13" s="11">
        <v>0</v>
      </c>
      <c r="I13" s="11">
        <v>0</v>
      </c>
      <c r="J13" s="11">
        <v>0</v>
      </c>
      <c r="K13" s="11">
        <v>0</v>
      </c>
      <c r="L13" s="11">
        <v>0</v>
      </c>
      <c r="M13" s="12">
        <v>0</v>
      </c>
    </row>
    <row r="14" spans="1:13" x14ac:dyDescent="0.25">
      <c r="A14">
        <v>12</v>
      </c>
      <c r="B14" s="38" t="s">
        <v>752</v>
      </c>
      <c r="C14" s="42">
        <v>0</v>
      </c>
      <c r="D14" s="11">
        <v>0</v>
      </c>
      <c r="E14" s="11">
        <v>0</v>
      </c>
      <c r="F14" s="11">
        <v>0</v>
      </c>
      <c r="G14" s="11">
        <v>0</v>
      </c>
      <c r="H14" s="11">
        <v>0</v>
      </c>
      <c r="I14" s="11">
        <v>0</v>
      </c>
      <c r="J14" s="11">
        <v>0</v>
      </c>
      <c r="K14" s="11">
        <v>0</v>
      </c>
      <c r="L14" s="11">
        <v>0</v>
      </c>
      <c r="M14" s="12">
        <v>0</v>
      </c>
    </row>
    <row r="15" spans="1:13" x14ac:dyDescent="0.25">
      <c r="A15">
        <v>13</v>
      </c>
      <c r="B15" s="38" t="s">
        <v>752</v>
      </c>
      <c r="C15" s="42">
        <v>0</v>
      </c>
      <c r="D15" s="11">
        <v>0</v>
      </c>
      <c r="E15" s="11">
        <v>0</v>
      </c>
      <c r="F15" s="11">
        <v>0</v>
      </c>
      <c r="G15" s="11">
        <v>0</v>
      </c>
      <c r="H15" s="11">
        <v>0</v>
      </c>
      <c r="I15" s="11">
        <v>0</v>
      </c>
      <c r="J15" s="11">
        <v>0</v>
      </c>
      <c r="K15" s="11">
        <v>0</v>
      </c>
      <c r="L15" s="11">
        <v>0</v>
      </c>
      <c r="M15" s="12">
        <v>0</v>
      </c>
    </row>
    <row r="16" spans="1:13" x14ac:dyDescent="0.25">
      <c r="A16">
        <v>14</v>
      </c>
      <c r="B16" s="38" t="s">
        <v>752</v>
      </c>
      <c r="C16" s="42">
        <v>0</v>
      </c>
      <c r="D16" s="11">
        <v>0</v>
      </c>
      <c r="E16" s="11">
        <v>0</v>
      </c>
      <c r="F16" s="11">
        <v>0</v>
      </c>
      <c r="G16" s="11">
        <v>0</v>
      </c>
      <c r="H16" s="11">
        <v>0</v>
      </c>
      <c r="I16" s="11">
        <v>0</v>
      </c>
      <c r="J16" s="11">
        <v>0</v>
      </c>
      <c r="K16" s="11">
        <v>0</v>
      </c>
      <c r="L16" s="11">
        <v>0</v>
      </c>
      <c r="M16" s="12">
        <v>0</v>
      </c>
    </row>
    <row r="17" spans="1:13" x14ac:dyDescent="0.25">
      <c r="A17">
        <v>15</v>
      </c>
      <c r="B17" s="38" t="s">
        <v>752</v>
      </c>
      <c r="C17" s="42">
        <v>0</v>
      </c>
      <c r="D17" s="11">
        <v>0</v>
      </c>
      <c r="E17" s="11">
        <v>0</v>
      </c>
      <c r="F17" s="11">
        <v>0</v>
      </c>
      <c r="G17" s="11">
        <v>0</v>
      </c>
      <c r="H17" s="11">
        <v>0</v>
      </c>
      <c r="I17" s="11">
        <v>0</v>
      </c>
      <c r="J17" s="11">
        <v>0</v>
      </c>
      <c r="K17" s="11">
        <v>0</v>
      </c>
      <c r="L17" s="11">
        <v>0</v>
      </c>
      <c r="M17" s="12">
        <v>0</v>
      </c>
    </row>
    <row r="18" spans="1:13" x14ac:dyDescent="0.25">
      <c r="A18">
        <v>16</v>
      </c>
      <c r="B18" s="38" t="s">
        <v>752</v>
      </c>
      <c r="C18" s="42">
        <v>0</v>
      </c>
      <c r="D18" s="11">
        <v>0</v>
      </c>
      <c r="E18" s="11">
        <v>0</v>
      </c>
      <c r="F18" s="11">
        <v>0</v>
      </c>
      <c r="G18" s="11">
        <v>0</v>
      </c>
      <c r="H18" s="11">
        <v>0</v>
      </c>
      <c r="I18" s="11">
        <v>0</v>
      </c>
      <c r="J18" s="11">
        <v>0</v>
      </c>
      <c r="K18" s="11">
        <v>0</v>
      </c>
      <c r="L18" s="11">
        <v>0</v>
      </c>
      <c r="M18" s="12">
        <v>0</v>
      </c>
    </row>
    <row r="19" spans="1:13" x14ac:dyDescent="0.25">
      <c r="A19">
        <v>17</v>
      </c>
      <c r="B19" s="38" t="s">
        <v>752</v>
      </c>
      <c r="C19" s="42">
        <v>0</v>
      </c>
      <c r="D19" s="11">
        <v>0</v>
      </c>
      <c r="E19" s="11">
        <v>0</v>
      </c>
      <c r="F19" s="11">
        <v>0</v>
      </c>
      <c r="G19" s="11">
        <v>0</v>
      </c>
      <c r="H19" s="11">
        <v>0</v>
      </c>
      <c r="I19" s="11">
        <v>0</v>
      </c>
      <c r="J19" s="11">
        <v>0</v>
      </c>
      <c r="K19" s="11">
        <v>0</v>
      </c>
      <c r="L19" s="11">
        <v>0</v>
      </c>
      <c r="M19" s="12">
        <v>0</v>
      </c>
    </row>
    <row r="20" spans="1:13" x14ac:dyDescent="0.25">
      <c r="A20">
        <v>18</v>
      </c>
      <c r="B20" s="38" t="s">
        <v>752</v>
      </c>
      <c r="C20" s="42">
        <v>0</v>
      </c>
      <c r="D20" s="11">
        <v>0</v>
      </c>
      <c r="E20" s="11">
        <v>0</v>
      </c>
      <c r="F20" s="11">
        <v>0</v>
      </c>
      <c r="G20" s="11">
        <v>0</v>
      </c>
      <c r="H20" s="11">
        <v>0</v>
      </c>
      <c r="I20" s="11">
        <v>0</v>
      </c>
      <c r="J20" s="11">
        <v>0</v>
      </c>
      <c r="K20" s="11">
        <v>0</v>
      </c>
      <c r="L20" s="11">
        <v>0</v>
      </c>
      <c r="M20" s="12">
        <v>0</v>
      </c>
    </row>
    <row r="21" spans="1:13" x14ac:dyDescent="0.25">
      <c r="A21">
        <v>19</v>
      </c>
      <c r="B21" s="38" t="s">
        <v>752</v>
      </c>
      <c r="C21" s="42">
        <v>0</v>
      </c>
      <c r="D21" s="11">
        <v>0</v>
      </c>
      <c r="E21" s="11">
        <v>0</v>
      </c>
      <c r="F21" s="11">
        <v>0</v>
      </c>
      <c r="G21" s="11">
        <v>0</v>
      </c>
      <c r="H21" s="11">
        <v>0</v>
      </c>
      <c r="I21" s="11">
        <v>0</v>
      </c>
      <c r="J21" s="11">
        <v>0</v>
      </c>
      <c r="K21" s="11">
        <v>0</v>
      </c>
      <c r="L21" s="11">
        <v>0</v>
      </c>
      <c r="M21" s="12">
        <v>0</v>
      </c>
    </row>
    <row r="22" spans="1:13" x14ac:dyDescent="0.25">
      <c r="A22">
        <v>20</v>
      </c>
      <c r="B22" s="38" t="s">
        <v>752</v>
      </c>
      <c r="C22" s="42">
        <v>0</v>
      </c>
      <c r="D22" s="11">
        <v>0</v>
      </c>
      <c r="E22" s="11">
        <v>0</v>
      </c>
      <c r="F22" s="11">
        <v>0</v>
      </c>
      <c r="G22" s="11">
        <v>0</v>
      </c>
      <c r="H22" s="11">
        <v>0</v>
      </c>
      <c r="I22" s="11">
        <v>0</v>
      </c>
      <c r="J22" s="11">
        <v>0</v>
      </c>
      <c r="K22" s="11">
        <v>0</v>
      </c>
      <c r="L22" s="11">
        <v>0</v>
      </c>
      <c r="M22" s="12">
        <v>0</v>
      </c>
    </row>
    <row r="23" spans="1:13" x14ac:dyDescent="0.25">
      <c r="A23">
        <v>21</v>
      </c>
      <c r="B23" s="38" t="s">
        <v>752</v>
      </c>
      <c r="C23" s="42">
        <v>0</v>
      </c>
      <c r="D23" s="11">
        <v>0</v>
      </c>
      <c r="E23" s="11">
        <v>0</v>
      </c>
      <c r="F23" s="11">
        <v>0</v>
      </c>
      <c r="G23" s="11">
        <v>0</v>
      </c>
      <c r="H23" s="11">
        <v>0</v>
      </c>
      <c r="I23" s="11">
        <v>0</v>
      </c>
      <c r="J23" s="11">
        <v>0</v>
      </c>
      <c r="K23" s="11">
        <v>0</v>
      </c>
      <c r="L23" s="11">
        <v>0</v>
      </c>
      <c r="M23" s="12">
        <v>0</v>
      </c>
    </row>
    <row r="24" spans="1:13" x14ac:dyDescent="0.25">
      <c r="A24">
        <v>22</v>
      </c>
      <c r="B24" s="38" t="s">
        <v>752</v>
      </c>
      <c r="C24" s="42">
        <v>0</v>
      </c>
      <c r="D24" s="11">
        <v>0</v>
      </c>
      <c r="E24" s="11">
        <v>0</v>
      </c>
      <c r="F24" s="11">
        <v>0</v>
      </c>
      <c r="G24" s="11">
        <v>0</v>
      </c>
      <c r="H24" s="11">
        <v>0</v>
      </c>
      <c r="I24" s="11">
        <v>0</v>
      </c>
      <c r="J24" s="11">
        <v>0</v>
      </c>
      <c r="K24" s="11">
        <v>0</v>
      </c>
      <c r="L24" s="11">
        <v>0</v>
      </c>
      <c r="M24" s="12">
        <v>0</v>
      </c>
    </row>
    <row r="25" spans="1:13" x14ac:dyDescent="0.25">
      <c r="A25">
        <v>23</v>
      </c>
      <c r="B25" s="38" t="s">
        <v>752</v>
      </c>
      <c r="C25" s="42">
        <v>0</v>
      </c>
      <c r="D25" s="11">
        <v>0</v>
      </c>
      <c r="E25" s="11">
        <v>0</v>
      </c>
      <c r="F25" s="11">
        <v>0</v>
      </c>
      <c r="G25" s="11">
        <v>0</v>
      </c>
      <c r="H25" s="11">
        <v>0</v>
      </c>
      <c r="I25" s="11">
        <v>0</v>
      </c>
      <c r="J25" s="11">
        <v>0</v>
      </c>
      <c r="K25" s="11">
        <v>0</v>
      </c>
      <c r="L25" s="11">
        <v>0</v>
      </c>
      <c r="M25" s="12">
        <v>0</v>
      </c>
    </row>
    <row r="26" spans="1:13" x14ac:dyDescent="0.25">
      <c r="A26">
        <v>24</v>
      </c>
      <c r="B26" s="38" t="s">
        <v>752</v>
      </c>
      <c r="C26" s="42">
        <v>0</v>
      </c>
      <c r="D26" s="11">
        <v>0</v>
      </c>
      <c r="E26" s="11">
        <v>0</v>
      </c>
      <c r="F26" s="11">
        <v>0</v>
      </c>
      <c r="G26" s="11">
        <v>0</v>
      </c>
      <c r="H26" s="11">
        <v>0</v>
      </c>
      <c r="I26" s="11">
        <v>0</v>
      </c>
      <c r="J26" s="11">
        <v>0</v>
      </c>
      <c r="K26" s="11">
        <v>0</v>
      </c>
      <c r="L26" s="11">
        <v>0</v>
      </c>
      <c r="M26" s="12">
        <v>0</v>
      </c>
    </row>
    <row r="27" spans="1:13" x14ac:dyDescent="0.25">
      <c r="A27">
        <v>25</v>
      </c>
      <c r="B27" s="38" t="s">
        <v>752</v>
      </c>
      <c r="C27" s="42">
        <v>0</v>
      </c>
      <c r="D27" s="11">
        <v>0</v>
      </c>
      <c r="E27" s="11">
        <v>0</v>
      </c>
      <c r="F27" s="11">
        <v>0</v>
      </c>
      <c r="G27" s="11">
        <v>0</v>
      </c>
      <c r="H27" s="11">
        <v>0</v>
      </c>
      <c r="I27" s="11">
        <v>0</v>
      </c>
      <c r="J27" s="11">
        <v>0</v>
      </c>
      <c r="K27" s="11">
        <v>0</v>
      </c>
      <c r="L27" s="11">
        <v>0</v>
      </c>
      <c r="M27" s="12">
        <v>0</v>
      </c>
    </row>
    <row r="28" spans="1:13" x14ac:dyDescent="0.25">
      <c r="A28">
        <v>26</v>
      </c>
      <c r="B28" s="38" t="s">
        <v>752</v>
      </c>
      <c r="C28" s="42">
        <v>0</v>
      </c>
      <c r="D28" s="11">
        <v>0</v>
      </c>
      <c r="E28" s="11">
        <v>0</v>
      </c>
      <c r="F28" s="11">
        <v>0</v>
      </c>
      <c r="G28" s="11">
        <v>0</v>
      </c>
      <c r="H28" s="11">
        <v>0</v>
      </c>
      <c r="I28" s="11">
        <v>0</v>
      </c>
      <c r="J28" s="11">
        <v>0</v>
      </c>
      <c r="K28" s="11">
        <v>0</v>
      </c>
      <c r="L28" s="11">
        <v>0</v>
      </c>
      <c r="M28" s="12">
        <v>0</v>
      </c>
    </row>
    <row r="29" spans="1:13" x14ac:dyDescent="0.25">
      <c r="A29">
        <v>27</v>
      </c>
      <c r="B29" s="38" t="s">
        <v>752</v>
      </c>
      <c r="C29" s="42">
        <v>0</v>
      </c>
      <c r="D29" s="11">
        <v>0</v>
      </c>
      <c r="E29" s="11">
        <v>0</v>
      </c>
      <c r="F29" s="11">
        <v>0</v>
      </c>
      <c r="G29" s="11">
        <v>0</v>
      </c>
      <c r="H29" s="11">
        <v>0</v>
      </c>
      <c r="I29" s="11">
        <v>0</v>
      </c>
      <c r="J29" s="11">
        <v>0</v>
      </c>
      <c r="K29" s="11">
        <v>0</v>
      </c>
      <c r="L29" s="11">
        <v>0</v>
      </c>
      <c r="M29" s="12">
        <v>0</v>
      </c>
    </row>
    <row r="30" spans="1:13" x14ac:dyDescent="0.25">
      <c r="A30">
        <v>28</v>
      </c>
      <c r="B30" s="38" t="s">
        <v>752</v>
      </c>
      <c r="C30" s="42">
        <v>0</v>
      </c>
      <c r="D30" s="11">
        <v>0</v>
      </c>
      <c r="E30" s="11">
        <v>0</v>
      </c>
      <c r="F30" s="11">
        <v>0</v>
      </c>
      <c r="G30" s="11">
        <v>0</v>
      </c>
      <c r="H30" s="11">
        <v>0</v>
      </c>
      <c r="I30" s="11">
        <v>0</v>
      </c>
      <c r="J30" s="11">
        <v>0</v>
      </c>
      <c r="K30" s="11">
        <v>0</v>
      </c>
      <c r="L30" s="11">
        <v>0</v>
      </c>
      <c r="M30" s="12">
        <v>0</v>
      </c>
    </row>
    <row r="31" spans="1:13" x14ac:dyDescent="0.25">
      <c r="A31">
        <v>29</v>
      </c>
      <c r="B31" s="38" t="s">
        <v>752</v>
      </c>
      <c r="C31" s="42">
        <v>0</v>
      </c>
      <c r="D31" s="11">
        <v>0</v>
      </c>
      <c r="E31" s="11">
        <v>0</v>
      </c>
      <c r="F31" s="11">
        <v>0</v>
      </c>
      <c r="G31" s="11">
        <v>0</v>
      </c>
      <c r="H31" s="11">
        <v>0</v>
      </c>
      <c r="I31" s="11">
        <v>0</v>
      </c>
      <c r="J31" s="11">
        <v>0</v>
      </c>
      <c r="K31" s="11">
        <v>0</v>
      </c>
      <c r="L31" s="11">
        <v>0</v>
      </c>
      <c r="M31" s="12">
        <v>0</v>
      </c>
    </row>
    <row r="32" spans="1:13" x14ac:dyDescent="0.25">
      <c r="A32">
        <v>30</v>
      </c>
      <c r="B32" s="38" t="s">
        <v>752</v>
      </c>
      <c r="C32" s="42">
        <v>0</v>
      </c>
      <c r="D32" s="11">
        <v>0</v>
      </c>
      <c r="E32" s="11">
        <v>0</v>
      </c>
      <c r="F32" s="11">
        <v>0</v>
      </c>
      <c r="G32" s="11">
        <v>0</v>
      </c>
      <c r="H32" s="11">
        <v>0</v>
      </c>
      <c r="I32" s="11">
        <v>0</v>
      </c>
      <c r="J32" s="11">
        <v>0</v>
      </c>
      <c r="K32" s="11">
        <v>0</v>
      </c>
      <c r="L32" s="11">
        <v>0</v>
      </c>
      <c r="M32" s="12">
        <v>0</v>
      </c>
    </row>
    <row r="33" spans="1:13" x14ac:dyDescent="0.25">
      <c r="A33">
        <v>31</v>
      </c>
      <c r="B33" s="38" t="s">
        <v>752</v>
      </c>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848</v>
      </c>
      <c r="C41" s="42">
        <v>0</v>
      </c>
      <c r="D41" s="11">
        <v>4</v>
      </c>
      <c r="E41" s="11">
        <v>3</v>
      </c>
      <c r="F41" s="11">
        <v>0</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96</v>
      </c>
      <c r="F46" s="11">
        <v>0</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4</v>
      </c>
      <c r="F98" s="11">
        <v>0</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752</v>
      </c>
      <c r="C129" s="42">
        <v>0</v>
      </c>
      <c r="D129" s="11">
        <v>0</v>
      </c>
      <c r="E129" s="11">
        <v>0</v>
      </c>
      <c r="F129" s="11">
        <v>0</v>
      </c>
      <c r="G129" s="11">
        <v>0</v>
      </c>
      <c r="H129" s="11">
        <v>0</v>
      </c>
      <c r="I129" s="11">
        <v>0</v>
      </c>
      <c r="J129" s="11">
        <v>0</v>
      </c>
      <c r="K129" s="11">
        <v>0</v>
      </c>
      <c r="L129" s="11">
        <v>0</v>
      </c>
      <c r="M129" s="12">
        <v>0</v>
      </c>
    </row>
    <row r="130" spans="1:13" x14ac:dyDescent="0.25">
      <c r="A130">
        <v>128</v>
      </c>
      <c r="B130" s="38" t="s">
        <v>824</v>
      </c>
      <c r="C130" s="42">
        <v>0</v>
      </c>
      <c r="D130" s="11">
        <v>20</v>
      </c>
      <c r="E130" s="11">
        <v>62</v>
      </c>
      <c r="F130" s="11">
        <v>85</v>
      </c>
      <c r="G130" s="11">
        <v>85</v>
      </c>
      <c r="H130" s="11">
        <v>65</v>
      </c>
      <c r="I130" s="11">
        <v>34</v>
      </c>
      <c r="J130" s="11">
        <v>0</v>
      </c>
      <c r="K130" s="11">
        <v>0</v>
      </c>
      <c r="L130" s="11">
        <v>0</v>
      </c>
      <c r="M130" s="12">
        <v>0</v>
      </c>
    </row>
    <row r="131" spans="1:13" x14ac:dyDescent="0.25">
      <c r="A131">
        <v>129</v>
      </c>
      <c r="B131" s="38" t="s">
        <v>825</v>
      </c>
      <c r="C131" s="42">
        <v>0</v>
      </c>
      <c r="D131" s="11">
        <v>0</v>
      </c>
      <c r="E131" s="11">
        <v>0</v>
      </c>
      <c r="F131" s="11">
        <v>0</v>
      </c>
      <c r="G131" s="11">
        <v>0</v>
      </c>
      <c r="H131" s="11">
        <v>0</v>
      </c>
      <c r="I131" s="11">
        <v>0</v>
      </c>
      <c r="J131" s="11">
        <v>0</v>
      </c>
      <c r="K131" s="11">
        <v>0</v>
      </c>
      <c r="L131" s="11">
        <v>0</v>
      </c>
      <c r="M131" s="12">
        <v>0</v>
      </c>
    </row>
    <row r="132" spans="1:13" x14ac:dyDescent="0.25">
      <c r="A132">
        <v>130</v>
      </c>
      <c r="B132" s="38" t="s">
        <v>823</v>
      </c>
      <c r="C132" s="42">
        <v>0</v>
      </c>
      <c r="D132" s="11">
        <v>128</v>
      </c>
      <c r="E132" s="11">
        <v>96</v>
      </c>
      <c r="F132" s="11">
        <v>0</v>
      </c>
      <c r="G132" s="11">
        <v>0</v>
      </c>
      <c r="H132" s="11">
        <v>0</v>
      </c>
      <c r="I132" s="11">
        <v>0</v>
      </c>
      <c r="J132" s="11">
        <v>0</v>
      </c>
      <c r="K132" s="11">
        <v>0</v>
      </c>
      <c r="L132" s="11">
        <v>0</v>
      </c>
      <c r="M132" s="12">
        <v>0</v>
      </c>
    </row>
    <row r="133" spans="1:13" x14ac:dyDescent="0.25">
      <c r="A133">
        <v>131</v>
      </c>
      <c r="B133" s="38" t="s">
        <v>814</v>
      </c>
      <c r="C133" s="42">
        <v>0</v>
      </c>
      <c r="D133" s="11">
        <v>192</v>
      </c>
      <c r="E133" s="11">
        <v>136</v>
      </c>
      <c r="F133" s="11">
        <v>126</v>
      </c>
      <c r="G133" s="11">
        <v>9</v>
      </c>
      <c r="H133" s="11">
        <v>3</v>
      </c>
      <c r="I133" s="11">
        <v>0</v>
      </c>
      <c r="J133" s="11">
        <v>0</v>
      </c>
      <c r="K133" s="11">
        <v>0</v>
      </c>
      <c r="L133" s="11">
        <v>0</v>
      </c>
      <c r="M133" s="12">
        <v>0</v>
      </c>
    </row>
    <row r="134" spans="1:13" x14ac:dyDescent="0.25">
      <c r="A134">
        <v>132</v>
      </c>
      <c r="B134" s="38" t="s">
        <v>823</v>
      </c>
      <c r="C134" s="42">
        <v>0</v>
      </c>
      <c r="D134" s="11">
        <v>128</v>
      </c>
      <c r="E134" s="11">
        <v>96</v>
      </c>
      <c r="F134" s="11">
        <v>128</v>
      </c>
      <c r="G134" s="11">
        <v>96</v>
      </c>
      <c r="H134" s="11">
        <v>0</v>
      </c>
      <c r="I134" s="11">
        <v>0</v>
      </c>
      <c r="J134" s="11">
        <v>0</v>
      </c>
      <c r="K134" s="11">
        <v>0</v>
      </c>
      <c r="L134" s="11">
        <v>0</v>
      </c>
      <c r="M134" s="12">
        <v>0</v>
      </c>
    </row>
    <row r="135" spans="1:13" x14ac:dyDescent="0.25">
      <c r="A135">
        <v>133</v>
      </c>
      <c r="B135" s="38" t="s">
        <v>826</v>
      </c>
      <c r="C135" s="42">
        <v>0</v>
      </c>
      <c r="D135" s="11">
        <v>96</v>
      </c>
      <c r="E135" s="11">
        <v>96</v>
      </c>
      <c r="F135" s="11">
        <v>0</v>
      </c>
      <c r="G135" s="11">
        <v>96</v>
      </c>
      <c r="H135" s="11">
        <v>96</v>
      </c>
      <c r="I135" s="11">
        <v>0</v>
      </c>
      <c r="J135" s="11">
        <v>96</v>
      </c>
      <c r="K135" s="11">
        <v>96</v>
      </c>
      <c r="L135" s="11">
        <v>0</v>
      </c>
      <c r="M135" s="12">
        <v>0</v>
      </c>
    </row>
    <row r="136" spans="1:13" x14ac:dyDescent="0.25">
      <c r="A136">
        <v>134</v>
      </c>
      <c r="B136" s="38" t="s">
        <v>827</v>
      </c>
      <c r="C136" s="42">
        <v>0</v>
      </c>
      <c r="D136" s="11">
        <v>4</v>
      </c>
      <c r="E136" s="11">
        <v>126</v>
      </c>
      <c r="F136" s="11">
        <v>4</v>
      </c>
      <c r="G136" s="11">
        <v>0</v>
      </c>
      <c r="H136" s="11">
        <v>0</v>
      </c>
      <c r="I136" s="11">
        <v>0</v>
      </c>
      <c r="J136" s="11">
        <v>0</v>
      </c>
      <c r="K136" s="11">
        <v>0</v>
      </c>
      <c r="L136" s="11">
        <v>0</v>
      </c>
      <c r="M136" s="12">
        <v>0</v>
      </c>
    </row>
    <row r="137" spans="1:13" x14ac:dyDescent="0.25">
      <c r="A137">
        <v>135</v>
      </c>
      <c r="B137" s="38" t="s">
        <v>828</v>
      </c>
      <c r="C137" s="42">
        <v>0</v>
      </c>
      <c r="D137" s="11">
        <v>20</v>
      </c>
      <c r="E137" s="11">
        <v>126</v>
      </c>
      <c r="F137" s="11">
        <v>20</v>
      </c>
      <c r="G137" s="11">
        <v>0</v>
      </c>
      <c r="H137" s="11">
        <v>0</v>
      </c>
      <c r="I137" s="11">
        <v>0</v>
      </c>
      <c r="J137" s="11">
        <v>0</v>
      </c>
      <c r="K137" s="11">
        <v>0</v>
      </c>
      <c r="L137" s="11">
        <v>0</v>
      </c>
      <c r="M137" s="12">
        <v>0</v>
      </c>
    </row>
    <row r="138" spans="1:13" x14ac:dyDescent="0.25">
      <c r="A138">
        <v>136</v>
      </c>
      <c r="B138" s="38" t="s">
        <v>829</v>
      </c>
      <c r="C138" s="42">
        <v>0</v>
      </c>
      <c r="D138" s="11">
        <v>2</v>
      </c>
      <c r="E138" s="11">
        <v>1</v>
      </c>
      <c r="F138" s="11">
        <v>1</v>
      </c>
      <c r="G138" s="11">
        <v>2</v>
      </c>
      <c r="H138" s="11">
        <v>0</v>
      </c>
      <c r="I138" s="11">
        <v>0</v>
      </c>
      <c r="J138" s="11">
        <v>0</v>
      </c>
      <c r="K138" s="11">
        <v>0</v>
      </c>
      <c r="L138" s="11">
        <v>0</v>
      </c>
      <c r="M138" s="12">
        <v>0</v>
      </c>
    </row>
    <row r="139" spans="1:13" x14ac:dyDescent="0.25">
      <c r="A139">
        <v>137</v>
      </c>
      <c r="B139" s="38" t="s">
        <v>830</v>
      </c>
      <c r="C139" s="42">
        <v>0</v>
      </c>
      <c r="D139" s="11">
        <v>35</v>
      </c>
      <c r="E139" s="11">
        <v>19</v>
      </c>
      <c r="F139" s="11">
        <v>104</v>
      </c>
      <c r="G139" s="11">
        <v>100</v>
      </c>
      <c r="H139" s="11">
        <v>2</v>
      </c>
      <c r="I139" s="11">
        <v>97</v>
      </c>
      <c r="J139" s="11">
        <v>96</v>
      </c>
      <c r="K139" s="11">
        <v>0</v>
      </c>
      <c r="L139" s="11">
        <v>0</v>
      </c>
      <c r="M139" s="12">
        <v>0</v>
      </c>
    </row>
    <row r="140" spans="1:13" x14ac:dyDescent="0.25">
      <c r="A140">
        <v>138</v>
      </c>
      <c r="B140" s="38" t="s">
        <v>831</v>
      </c>
      <c r="C140" s="42">
        <v>0</v>
      </c>
      <c r="D140" s="11">
        <v>72</v>
      </c>
      <c r="E140" s="11">
        <v>85</v>
      </c>
      <c r="F140" s="11">
        <v>86</v>
      </c>
      <c r="G140" s="11">
        <v>85</v>
      </c>
      <c r="H140" s="11">
        <v>36</v>
      </c>
      <c r="I140" s="11">
        <v>0</v>
      </c>
      <c r="J140" s="11">
        <v>0</v>
      </c>
      <c r="K140" s="11">
        <v>0</v>
      </c>
      <c r="L140" s="11">
        <v>0</v>
      </c>
      <c r="M140" s="12">
        <v>0</v>
      </c>
    </row>
    <row r="141" spans="1:13" x14ac:dyDescent="0.25">
      <c r="A141">
        <v>139</v>
      </c>
      <c r="B141" s="38" t="s">
        <v>832</v>
      </c>
      <c r="C141" s="42">
        <v>0</v>
      </c>
      <c r="D141" s="11">
        <v>8</v>
      </c>
      <c r="E141" s="11">
        <v>20</v>
      </c>
      <c r="F141" s="11">
        <v>34</v>
      </c>
      <c r="G141" s="11">
        <v>0</v>
      </c>
      <c r="H141" s="11">
        <v>0</v>
      </c>
      <c r="I141" s="11">
        <v>0</v>
      </c>
      <c r="J141" s="11">
        <v>0</v>
      </c>
      <c r="K141" s="11">
        <v>0</v>
      </c>
      <c r="L141" s="11">
        <v>0</v>
      </c>
      <c r="M141" s="12">
        <v>0</v>
      </c>
    </row>
    <row r="142" spans="1:13" x14ac:dyDescent="0.25">
      <c r="A142">
        <v>140</v>
      </c>
      <c r="B142" s="38" t="s">
        <v>840</v>
      </c>
      <c r="C142" s="42">
        <v>0</v>
      </c>
      <c r="D142" s="11">
        <v>62</v>
      </c>
      <c r="E142" s="11">
        <v>65</v>
      </c>
      <c r="F142" s="11">
        <v>65</v>
      </c>
      <c r="G142" s="11">
        <v>127</v>
      </c>
      <c r="H142" s="11">
        <v>73</v>
      </c>
      <c r="I142" s="11">
        <v>73</v>
      </c>
      <c r="J142" s="11">
        <v>0</v>
      </c>
      <c r="K142" s="11">
        <v>0</v>
      </c>
      <c r="L142" s="11">
        <v>0</v>
      </c>
      <c r="M142" s="12">
        <v>0</v>
      </c>
    </row>
    <row r="143" spans="1:13" x14ac:dyDescent="0.25">
      <c r="A143">
        <v>141</v>
      </c>
      <c r="B143" s="38" t="s">
        <v>825</v>
      </c>
      <c r="C143" s="42">
        <v>0</v>
      </c>
      <c r="D143" s="11">
        <v>0</v>
      </c>
      <c r="E143" s="11">
        <v>0</v>
      </c>
      <c r="F143" s="11">
        <v>0</v>
      </c>
      <c r="G143" s="11">
        <v>0</v>
      </c>
      <c r="H143" s="11">
        <v>0</v>
      </c>
      <c r="I143" s="11">
        <v>0</v>
      </c>
      <c r="J143" s="11">
        <v>0</v>
      </c>
      <c r="K143" s="11">
        <v>0</v>
      </c>
      <c r="L143" s="11">
        <v>0</v>
      </c>
      <c r="M143" s="12">
        <v>0</v>
      </c>
    </row>
    <row r="144" spans="1:13" x14ac:dyDescent="0.25">
      <c r="A144">
        <v>142</v>
      </c>
      <c r="B144" s="38" t="s">
        <v>839</v>
      </c>
      <c r="C144" s="42">
        <v>0</v>
      </c>
      <c r="D144" s="11">
        <v>68</v>
      </c>
      <c r="E144" s="11">
        <v>101</v>
      </c>
      <c r="F144" s="11">
        <v>86</v>
      </c>
      <c r="G144" s="11">
        <v>77</v>
      </c>
      <c r="H144" s="11">
        <v>68</v>
      </c>
      <c r="I144" s="11">
        <v>0</v>
      </c>
      <c r="J144" s="11">
        <v>0</v>
      </c>
      <c r="K144" s="11">
        <v>0</v>
      </c>
      <c r="L144" s="11">
        <v>0</v>
      </c>
      <c r="M144" s="12">
        <v>0</v>
      </c>
    </row>
    <row r="145" spans="1:13" x14ac:dyDescent="0.25">
      <c r="A145">
        <v>143</v>
      </c>
      <c r="B145" s="38" t="s">
        <v>825</v>
      </c>
      <c r="C145" s="42">
        <v>0</v>
      </c>
      <c r="D145" s="11">
        <v>0</v>
      </c>
      <c r="E145" s="11">
        <v>0</v>
      </c>
      <c r="F145" s="11">
        <v>0</v>
      </c>
      <c r="G145" s="11">
        <v>0</v>
      </c>
      <c r="H145" s="11">
        <v>0</v>
      </c>
      <c r="I145" s="11">
        <v>0</v>
      </c>
      <c r="J145" s="11">
        <v>0</v>
      </c>
      <c r="K145" s="11">
        <v>0</v>
      </c>
      <c r="L145" s="11">
        <v>0</v>
      </c>
      <c r="M145" s="12">
        <v>0</v>
      </c>
    </row>
    <row r="146" spans="1:13" x14ac:dyDescent="0.25">
      <c r="A146">
        <v>144</v>
      </c>
      <c r="B146" s="38" t="s">
        <v>825</v>
      </c>
      <c r="C146" s="42">
        <v>0</v>
      </c>
      <c r="D146" s="11">
        <v>0</v>
      </c>
      <c r="E146" s="11">
        <v>0</v>
      </c>
      <c r="F146" s="11">
        <v>0</v>
      </c>
      <c r="G146" s="11">
        <v>0</v>
      </c>
      <c r="H146" s="11">
        <v>0</v>
      </c>
      <c r="I146" s="11">
        <v>0</v>
      </c>
      <c r="J146" s="11">
        <v>0</v>
      </c>
      <c r="K146" s="11">
        <v>0</v>
      </c>
      <c r="L146" s="11">
        <v>0</v>
      </c>
      <c r="M146" s="12">
        <v>0</v>
      </c>
    </row>
    <row r="147" spans="1:13" x14ac:dyDescent="0.25">
      <c r="A147">
        <v>145</v>
      </c>
      <c r="B147" s="38" t="s">
        <v>843</v>
      </c>
      <c r="C147" s="42">
        <v>0</v>
      </c>
      <c r="D147" s="11">
        <v>3</v>
      </c>
      <c r="E147" s="11">
        <v>4</v>
      </c>
      <c r="F147" s="11">
        <v>0</v>
      </c>
      <c r="G147" s="11">
        <v>0</v>
      </c>
      <c r="H147" s="11">
        <v>0</v>
      </c>
      <c r="I147" s="11">
        <v>0</v>
      </c>
      <c r="J147" s="11">
        <v>0</v>
      </c>
      <c r="K147" s="11">
        <v>0</v>
      </c>
      <c r="L147" s="11">
        <v>0</v>
      </c>
      <c r="M147" s="12">
        <v>0</v>
      </c>
    </row>
    <row r="148" spans="1:13" x14ac:dyDescent="0.25">
      <c r="A148">
        <v>146</v>
      </c>
      <c r="B148" s="38" t="s">
        <v>844</v>
      </c>
      <c r="C148" s="42">
        <v>0</v>
      </c>
      <c r="D148" s="11">
        <v>4</v>
      </c>
      <c r="E148" s="11">
        <v>3</v>
      </c>
      <c r="F148" s="11">
        <v>0</v>
      </c>
      <c r="G148" s="11">
        <v>0</v>
      </c>
      <c r="H148" s="11">
        <v>0</v>
      </c>
      <c r="I148" s="11">
        <v>0</v>
      </c>
      <c r="J148" s="11">
        <v>0</v>
      </c>
      <c r="K148" s="11">
        <v>0</v>
      </c>
      <c r="L148" s="11">
        <v>0</v>
      </c>
      <c r="M148" s="12">
        <v>0</v>
      </c>
    </row>
    <row r="149" spans="1:13" x14ac:dyDescent="0.25">
      <c r="A149">
        <v>147</v>
      </c>
      <c r="B149" s="38" t="s">
        <v>841</v>
      </c>
      <c r="C149" s="42">
        <v>0</v>
      </c>
      <c r="D149" s="11">
        <v>3</v>
      </c>
      <c r="E149" s="11">
        <v>4</v>
      </c>
      <c r="F149" s="11">
        <v>3</v>
      </c>
      <c r="G149" s="11">
        <v>4</v>
      </c>
      <c r="H149" s="11">
        <v>0</v>
      </c>
      <c r="I149" s="11">
        <v>0</v>
      </c>
      <c r="J149" s="11">
        <v>0</v>
      </c>
      <c r="K149" s="11">
        <v>0</v>
      </c>
      <c r="L149" s="11">
        <v>0</v>
      </c>
      <c r="M149" s="12">
        <v>0</v>
      </c>
    </row>
    <row r="150" spans="1:13" x14ac:dyDescent="0.25">
      <c r="A150">
        <v>148</v>
      </c>
      <c r="B150" s="38" t="s">
        <v>842</v>
      </c>
      <c r="C150" s="42">
        <v>0</v>
      </c>
      <c r="D150" s="11">
        <v>4</v>
      </c>
      <c r="E150" s="11">
        <v>3</v>
      </c>
      <c r="F150" s="11">
        <v>4</v>
      </c>
      <c r="G150" s="11">
        <v>3</v>
      </c>
      <c r="H150" s="11">
        <v>0</v>
      </c>
      <c r="I150" s="11">
        <v>0</v>
      </c>
      <c r="J150" s="11">
        <v>0</v>
      </c>
      <c r="K150" s="11">
        <v>0</v>
      </c>
      <c r="L150" s="11">
        <v>0</v>
      </c>
      <c r="M150" s="12">
        <v>0</v>
      </c>
    </row>
    <row r="151" spans="1:13" x14ac:dyDescent="0.25">
      <c r="A151">
        <v>149</v>
      </c>
      <c r="B151" s="38" t="s">
        <v>104</v>
      </c>
      <c r="C151" s="42">
        <v>0</v>
      </c>
      <c r="D151" s="11">
        <v>0</v>
      </c>
      <c r="E151" s="11">
        <v>24</v>
      </c>
      <c r="F151" s="11">
        <v>60</v>
      </c>
      <c r="G151" s="11">
        <v>24</v>
      </c>
      <c r="H151" s="11">
        <v>0</v>
      </c>
      <c r="I151" s="11">
        <v>0</v>
      </c>
      <c r="J151" s="11">
        <v>0</v>
      </c>
      <c r="K151" s="11">
        <v>0</v>
      </c>
      <c r="L151" s="11">
        <v>0</v>
      </c>
      <c r="M151" s="12">
        <v>0</v>
      </c>
    </row>
    <row r="152" spans="1:13" x14ac:dyDescent="0.25">
      <c r="A152">
        <v>150</v>
      </c>
      <c r="B152" s="38" t="s">
        <v>845</v>
      </c>
      <c r="C152" s="42">
        <v>0</v>
      </c>
      <c r="D152" s="11">
        <v>8</v>
      </c>
      <c r="E152" s="11">
        <v>8</v>
      </c>
      <c r="F152" s="11">
        <v>8</v>
      </c>
      <c r="G152" s="11">
        <v>0</v>
      </c>
      <c r="H152" s="11">
        <v>0</v>
      </c>
      <c r="I152" s="11">
        <v>0</v>
      </c>
      <c r="J152" s="11">
        <v>0</v>
      </c>
      <c r="K152" s="11">
        <v>0</v>
      </c>
      <c r="L152" s="11">
        <v>0</v>
      </c>
      <c r="M152" s="12">
        <v>0</v>
      </c>
    </row>
    <row r="153" spans="1:13" x14ac:dyDescent="0.25">
      <c r="A153">
        <v>151</v>
      </c>
      <c r="B153" s="38" t="s">
        <v>846</v>
      </c>
      <c r="C153" s="42">
        <v>0</v>
      </c>
      <c r="D153" s="11">
        <v>8</v>
      </c>
      <c r="E153" s="11">
        <v>8</v>
      </c>
      <c r="F153" s="11">
        <v>8</v>
      </c>
      <c r="G153" s="11">
        <v>8</v>
      </c>
      <c r="H153" s="11">
        <v>8</v>
      </c>
      <c r="I153" s="11">
        <v>0</v>
      </c>
      <c r="J153" s="11">
        <v>0</v>
      </c>
      <c r="K153" s="11">
        <v>0</v>
      </c>
      <c r="L153" s="11">
        <v>0</v>
      </c>
      <c r="M153" s="12">
        <v>0</v>
      </c>
    </row>
    <row r="154" spans="1:13" x14ac:dyDescent="0.25">
      <c r="A154">
        <v>152</v>
      </c>
      <c r="B154" s="38" t="s">
        <v>847</v>
      </c>
      <c r="C154" s="42">
        <v>0</v>
      </c>
      <c r="D154" s="11">
        <v>2</v>
      </c>
      <c r="E154" s="11">
        <v>1</v>
      </c>
      <c r="F154" s="11">
        <v>2</v>
      </c>
      <c r="G154" s="11">
        <v>1</v>
      </c>
      <c r="H154" s="11">
        <v>0</v>
      </c>
      <c r="I154" s="11">
        <v>0</v>
      </c>
      <c r="J154" s="11">
        <v>0</v>
      </c>
      <c r="K154" s="11">
        <v>0</v>
      </c>
      <c r="L154" s="11">
        <v>0</v>
      </c>
      <c r="M154" s="12">
        <v>0</v>
      </c>
    </row>
    <row r="155" spans="1:13" x14ac:dyDescent="0.25">
      <c r="A155">
        <v>153</v>
      </c>
      <c r="B155" s="38" t="s">
        <v>834</v>
      </c>
      <c r="C155" s="42">
        <v>0</v>
      </c>
      <c r="D155" s="11">
        <v>1</v>
      </c>
      <c r="E155" s="11">
        <v>15</v>
      </c>
      <c r="F155" s="11">
        <v>1</v>
      </c>
      <c r="G155" s="11">
        <v>0</v>
      </c>
      <c r="H155" s="11">
        <v>15</v>
      </c>
      <c r="I155" s="11">
        <v>2</v>
      </c>
      <c r="J155" s="11">
        <v>15</v>
      </c>
      <c r="K155" s="11">
        <v>0</v>
      </c>
      <c r="L155" s="11">
        <v>0</v>
      </c>
      <c r="M155" s="12">
        <v>0</v>
      </c>
    </row>
    <row r="156" spans="1:13" x14ac:dyDescent="0.25">
      <c r="A156">
        <v>154</v>
      </c>
      <c r="B156" s="38" t="s">
        <v>837</v>
      </c>
      <c r="C156" s="42">
        <v>0</v>
      </c>
      <c r="D156" s="11">
        <v>72</v>
      </c>
      <c r="E156" s="11">
        <v>85</v>
      </c>
      <c r="F156" s="11">
        <v>86</v>
      </c>
      <c r="G156" s="11">
        <v>85</v>
      </c>
      <c r="H156" s="11">
        <v>36</v>
      </c>
      <c r="I156" s="11">
        <v>0</v>
      </c>
      <c r="J156" s="11">
        <v>0</v>
      </c>
      <c r="K156" s="11">
        <v>0</v>
      </c>
      <c r="L156" s="11">
        <v>0</v>
      </c>
      <c r="M156" s="12">
        <v>0</v>
      </c>
    </row>
    <row r="157" spans="1:13" x14ac:dyDescent="0.25">
      <c r="A157">
        <v>155</v>
      </c>
      <c r="B157" s="38" t="s">
        <v>833</v>
      </c>
      <c r="C157" s="42">
        <v>0</v>
      </c>
      <c r="D157" s="11">
        <v>34</v>
      </c>
      <c r="E157" s="11">
        <v>20</v>
      </c>
      <c r="F157" s="11">
        <v>8</v>
      </c>
      <c r="G157" s="11">
        <v>0</v>
      </c>
      <c r="H157" s="11">
        <v>0</v>
      </c>
      <c r="I157" s="11">
        <v>0</v>
      </c>
      <c r="J157" s="11">
        <v>0</v>
      </c>
      <c r="K157" s="11">
        <v>0</v>
      </c>
      <c r="L157" s="11">
        <v>0</v>
      </c>
      <c r="M157" s="12">
        <v>0</v>
      </c>
    </row>
    <row r="158" spans="1:13" x14ac:dyDescent="0.25">
      <c r="A158">
        <v>156</v>
      </c>
      <c r="B158" s="38" t="s">
        <v>838</v>
      </c>
      <c r="C158" s="42">
        <v>0</v>
      </c>
      <c r="D158" s="11">
        <v>56</v>
      </c>
      <c r="E158" s="11">
        <v>68</v>
      </c>
      <c r="F158" s="11">
        <v>68</v>
      </c>
      <c r="G158" s="11">
        <v>124</v>
      </c>
      <c r="H158" s="11">
        <v>84</v>
      </c>
      <c r="I158" s="11">
        <v>84</v>
      </c>
      <c r="J158" s="11">
        <v>8</v>
      </c>
      <c r="K158" s="11">
        <v>0</v>
      </c>
      <c r="L158" s="11">
        <v>0</v>
      </c>
      <c r="M158" s="12">
        <v>0</v>
      </c>
    </row>
    <row r="159" spans="1:13" x14ac:dyDescent="0.25">
      <c r="A159">
        <v>157</v>
      </c>
      <c r="B159" s="38" t="s">
        <v>825</v>
      </c>
      <c r="C159" s="42">
        <v>0</v>
      </c>
      <c r="D159" s="11">
        <v>0</v>
      </c>
      <c r="E159" s="11">
        <v>0</v>
      </c>
      <c r="F159" s="11">
        <v>0</v>
      </c>
      <c r="G159" s="11">
        <v>0</v>
      </c>
      <c r="H159" s="11">
        <v>0</v>
      </c>
      <c r="I159" s="11">
        <v>0</v>
      </c>
      <c r="J159" s="11">
        <v>0</v>
      </c>
      <c r="K159" s="11">
        <v>0</v>
      </c>
      <c r="L159" s="11">
        <v>0</v>
      </c>
      <c r="M159" s="12">
        <v>0</v>
      </c>
    </row>
    <row r="160" spans="1:13" x14ac:dyDescent="0.25">
      <c r="A160">
        <v>158</v>
      </c>
      <c r="B160" s="38" t="s">
        <v>839</v>
      </c>
      <c r="C160" s="42">
        <v>0</v>
      </c>
      <c r="D160" s="11">
        <v>68</v>
      </c>
      <c r="E160" s="11">
        <v>101</v>
      </c>
      <c r="F160" s="11">
        <v>86</v>
      </c>
      <c r="G160" s="11">
        <v>77</v>
      </c>
      <c r="H160" s="11">
        <v>68</v>
      </c>
      <c r="I160" s="11">
        <v>0</v>
      </c>
      <c r="J160" s="11">
        <v>0</v>
      </c>
      <c r="K160" s="11">
        <v>0</v>
      </c>
      <c r="L160" s="11">
        <v>0</v>
      </c>
      <c r="M160" s="12">
        <v>0</v>
      </c>
    </row>
    <row r="161" spans="1:13" x14ac:dyDescent="0.25">
      <c r="A161">
        <v>159</v>
      </c>
      <c r="B161" s="38" t="s">
        <v>836</v>
      </c>
      <c r="C161" s="42">
        <v>0</v>
      </c>
      <c r="D161" s="11">
        <v>12</v>
      </c>
      <c r="E161" s="11">
        <v>17</v>
      </c>
      <c r="F161" s="11">
        <v>96</v>
      </c>
      <c r="G161" s="11">
        <v>17</v>
      </c>
      <c r="H161" s="11">
        <v>12</v>
      </c>
      <c r="I161" s="11">
        <v>0</v>
      </c>
      <c r="J161" s="11">
        <v>0</v>
      </c>
      <c r="K161" s="11">
        <v>0</v>
      </c>
      <c r="L161" s="11">
        <v>0</v>
      </c>
      <c r="M161" s="12">
        <v>0</v>
      </c>
    </row>
    <row r="162" spans="1:13" x14ac:dyDescent="0.25">
      <c r="A162">
        <v>160</v>
      </c>
      <c r="B162" s="38" t="s">
        <v>835</v>
      </c>
      <c r="C162" s="42">
        <v>2</v>
      </c>
      <c r="D162" s="11">
        <v>0</v>
      </c>
      <c r="E162" s="11">
        <v>0</v>
      </c>
      <c r="F162" s="11">
        <v>0</v>
      </c>
      <c r="G162" s="11">
        <v>0</v>
      </c>
      <c r="H162" s="11">
        <v>0</v>
      </c>
      <c r="I162" s="11">
        <v>0</v>
      </c>
      <c r="J162" s="11">
        <v>0</v>
      </c>
      <c r="K162" s="11">
        <v>0</v>
      </c>
      <c r="L162" s="11">
        <v>0</v>
      </c>
      <c r="M162" s="12">
        <v>0</v>
      </c>
    </row>
    <row r="163" spans="1:13" x14ac:dyDescent="0.25">
      <c r="A163">
        <v>161</v>
      </c>
      <c r="B163" s="38" t="s">
        <v>815</v>
      </c>
      <c r="C163" s="42">
        <v>0</v>
      </c>
      <c r="D163" s="11">
        <v>125</v>
      </c>
      <c r="E163" s="11">
        <v>0</v>
      </c>
      <c r="F163" s="11">
        <v>0</v>
      </c>
      <c r="G163" s="11">
        <v>0</v>
      </c>
      <c r="H163" s="11">
        <v>0</v>
      </c>
      <c r="I163" s="11">
        <v>0</v>
      </c>
      <c r="J163" s="11">
        <v>0</v>
      </c>
      <c r="K163" s="11">
        <v>0</v>
      </c>
      <c r="L163" s="11">
        <v>0</v>
      </c>
      <c r="M163" s="12">
        <v>0</v>
      </c>
    </row>
    <row r="164" spans="1:13" x14ac:dyDescent="0.25">
      <c r="A164">
        <v>162</v>
      </c>
      <c r="B164" s="38" t="s">
        <v>816</v>
      </c>
      <c r="C164" s="42">
        <v>0</v>
      </c>
      <c r="D164" s="11">
        <v>60</v>
      </c>
      <c r="E164" s="11">
        <v>36</v>
      </c>
      <c r="F164" s="11">
        <v>126</v>
      </c>
      <c r="G164" s="11">
        <v>36</v>
      </c>
      <c r="H164" s="11">
        <v>36</v>
      </c>
      <c r="I164" s="11">
        <v>0</v>
      </c>
      <c r="J164" s="11">
        <v>0</v>
      </c>
      <c r="K164" s="11">
        <v>0</v>
      </c>
      <c r="L164" s="11">
        <v>0</v>
      </c>
      <c r="M164" s="12">
        <v>0</v>
      </c>
    </row>
    <row r="165" spans="1:13" x14ac:dyDescent="0.25">
      <c r="A165">
        <v>163</v>
      </c>
      <c r="B165" s="38" t="s">
        <v>817</v>
      </c>
      <c r="C165" s="42">
        <v>0</v>
      </c>
      <c r="D165" s="11">
        <v>72</v>
      </c>
      <c r="E165" s="11">
        <v>126</v>
      </c>
      <c r="F165" s="11">
        <v>73</v>
      </c>
      <c r="G165" s="11">
        <v>65</v>
      </c>
      <c r="H165" s="11">
        <v>102</v>
      </c>
      <c r="I165" s="11">
        <v>0</v>
      </c>
      <c r="J165" s="11">
        <v>0</v>
      </c>
      <c r="K165" s="11">
        <v>0</v>
      </c>
      <c r="L165" s="11">
        <v>0</v>
      </c>
      <c r="M165" s="12">
        <v>0</v>
      </c>
    </row>
    <row r="166" spans="1:13" x14ac:dyDescent="0.25">
      <c r="A166">
        <v>164</v>
      </c>
      <c r="B166" s="38" t="s">
        <v>818</v>
      </c>
      <c r="C166" s="42">
        <v>0</v>
      </c>
      <c r="D166" s="11">
        <v>34</v>
      </c>
      <c r="E166" s="11">
        <v>28</v>
      </c>
      <c r="F166" s="11">
        <v>20</v>
      </c>
      <c r="G166" s="11">
        <v>28</v>
      </c>
      <c r="H166" s="11">
        <v>34</v>
      </c>
      <c r="I166" s="11">
        <v>0</v>
      </c>
      <c r="J166" s="11">
        <v>0</v>
      </c>
      <c r="K166" s="11">
        <v>0</v>
      </c>
      <c r="L166" s="11">
        <v>0</v>
      </c>
      <c r="M166" s="12">
        <v>0</v>
      </c>
    </row>
    <row r="167" spans="1:13" x14ac:dyDescent="0.25">
      <c r="A167">
        <v>165</v>
      </c>
      <c r="B167" s="38" t="s">
        <v>161</v>
      </c>
      <c r="C167" s="42">
        <v>0</v>
      </c>
      <c r="D167" s="11">
        <v>43</v>
      </c>
      <c r="E167" s="11">
        <v>47</v>
      </c>
      <c r="F167" s="11">
        <v>252</v>
      </c>
      <c r="G167" s="11">
        <v>47</v>
      </c>
      <c r="H167" s="11">
        <v>43</v>
      </c>
      <c r="I167" s="11">
        <v>0</v>
      </c>
      <c r="J167" s="11">
        <v>0</v>
      </c>
      <c r="K167" s="11">
        <v>0</v>
      </c>
      <c r="L167" s="11">
        <v>0</v>
      </c>
      <c r="M167" s="12">
        <v>0</v>
      </c>
    </row>
    <row r="168" spans="1:13" x14ac:dyDescent="0.25">
      <c r="A168">
        <v>166</v>
      </c>
      <c r="B168" s="38" t="s">
        <v>84</v>
      </c>
      <c r="C168" s="42">
        <v>0</v>
      </c>
      <c r="D168" s="11">
        <v>119</v>
      </c>
      <c r="E168" s="11">
        <v>0</v>
      </c>
      <c r="F168" s="11">
        <v>0</v>
      </c>
      <c r="G168" s="11">
        <v>0</v>
      </c>
      <c r="H168" s="11">
        <v>0</v>
      </c>
      <c r="I168" s="11">
        <v>0</v>
      </c>
      <c r="J168" s="11">
        <v>0</v>
      </c>
      <c r="K168" s="11">
        <v>0</v>
      </c>
      <c r="L168" s="11">
        <v>0</v>
      </c>
      <c r="M168" s="12">
        <v>0</v>
      </c>
    </row>
    <row r="169" spans="1:13" x14ac:dyDescent="0.25">
      <c r="A169">
        <v>167</v>
      </c>
      <c r="B169" s="38" t="s">
        <v>819</v>
      </c>
      <c r="C169" s="42">
        <v>0</v>
      </c>
      <c r="D169" s="11">
        <v>102</v>
      </c>
      <c r="E169" s="11">
        <v>137</v>
      </c>
      <c r="F169" s="11">
        <v>149</v>
      </c>
      <c r="G169" s="11">
        <v>106</v>
      </c>
      <c r="H169" s="11">
        <v>0</v>
      </c>
      <c r="I169" s="11">
        <v>0</v>
      </c>
      <c r="J169" s="11">
        <v>0</v>
      </c>
      <c r="K169" s="11">
        <v>0</v>
      </c>
      <c r="L169" s="11">
        <v>0</v>
      </c>
      <c r="M169" s="12">
        <v>0</v>
      </c>
    </row>
    <row r="170" spans="1:13" x14ac:dyDescent="0.25">
      <c r="A170">
        <v>168</v>
      </c>
      <c r="B170" s="38" t="s">
        <v>820</v>
      </c>
      <c r="C170" s="42">
        <v>0</v>
      </c>
      <c r="D170" s="11">
        <v>1</v>
      </c>
      <c r="E170" s="11">
        <v>0</v>
      </c>
      <c r="F170" s="11">
        <v>1</v>
      </c>
      <c r="G170" s="11">
        <v>0</v>
      </c>
      <c r="H170" s="11">
        <v>0</v>
      </c>
      <c r="I170" s="11">
        <v>0</v>
      </c>
      <c r="J170" s="11">
        <v>0</v>
      </c>
      <c r="K170" s="11">
        <v>0</v>
      </c>
      <c r="L170" s="11">
        <v>0</v>
      </c>
      <c r="M170" s="12">
        <v>0</v>
      </c>
    </row>
    <row r="171" spans="1:13" x14ac:dyDescent="0.25">
      <c r="A171">
        <v>169</v>
      </c>
      <c r="B171" s="38" t="s">
        <v>821</v>
      </c>
      <c r="C171" s="42">
        <v>0</v>
      </c>
      <c r="D171" s="11">
        <v>62</v>
      </c>
      <c r="E171" s="11">
        <v>65</v>
      </c>
      <c r="F171" s="11">
        <v>93</v>
      </c>
      <c r="G171" s="11">
        <v>85</v>
      </c>
      <c r="H171" s="11">
        <v>85</v>
      </c>
      <c r="I171" s="11">
        <v>65</v>
      </c>
      <c r="J171" s="11">
        <v>62</v>
      </c>
      <c r="K171" s="11">
        <v>0</v>
      </c>
      <c r="L171" s="11">
        <v>0</v>
      </c>
      <c r="M171" s="12">
        <v>0</v>
      </c>
    </row>
    <row r="172" spans="1:13" x14ac:dyDescent="0.25">
      <c r="A172">
        <v>170</v>
      </c>
      <c r="B172" s="38" t="s">
        <v>822</v>
      </c>
      <c r="C172" s="42">
        <v>0</v>
      </c>
      <c r="D172" s="11">
        <v>13</v>
      </c>
      <c r="E172" s="11">
        <v>13</v>
      </c>
      <c r="F172" s="11">
        <v>15</v>
      </c>
      <c r="G172" s="11">
        <v>0</v>
      </c>
      <c r="H172" s="11">
        <v>0</v>
      </c>
      <c r="I172" s="11">
        <v>0</v>
      </c>
      <c r="J172" s="11">
        <v>0</v>
      </c>
      <c r="K172" s="11">
        <v>0</v>
      </c>
      <c r="L172" s="11">
        <v>0</v>
      </c>
      <c r="M172" s="12">
        <v>0</v>
      </c>
    </row>
    <row r="173" spans="1:13" x14ac:dyDescent="0.25">
      <c r="A173">
        <v>171</v>
      </c>
      <c r="B173" s="38" t="s">
        <v>173</v>
      </c>
      <c r="C173" s="42">
        <v>0</v>
      </c>
      <c r="D173" s="11">
        <v>8</v>
      </c>
      <c r="E173" s="11">
        <v>20</v>
      </c>
      <c r="F173" s="11">
        <v>42</v>
      </c>
      <c r="G173" s="11">
        <v>20</v>
      </c>
      <c r="H173" s="11">
        <v>34</v>
      </c>
      <c r="I173" s="11">
        <v>0</v>
      </c>
      <c r="J173" s="11">
        <v>0</v>
      </c>
      <c r="K173" s="11">
        <v>0</v>
      </c>
      <c r="L173" s="11">
        <v>0</v>
      </c>
      <c r="M173" s="12">
        <v>0</v>
      </c>
    </row>
    <row r="174" spans="1:13" x14ac:dyDescent="0.25">
      <c r="A174">
        <v>172</v>
      </c>
      <c r="B174" s="38" t="s">
        <v>762</v>
      </c>
      <c r="C174" s="42">
        <v>0</v>
      </c>
      <c r="D174" s="11">
        <v>8</v>
      </c>
      <c r="E174" s="11">
        <v>8</v>
      </c>
      <c r="F174" s="11">
        <v>8</v>
      </c>
      <c r="G174" s="11">
        <v>8</v>
      </c>
      <c r="H174" s="11">
        <v>56</v>
      </c>
      <c r="I174" s="11">
        <v>0</v>
      </c>
      <c r="J174" s="11">
        <v>0</v>
      </c>
      <c r="K174" s="11">
        <v>0</v>
      </c>
      <c r="L174" s="11">
        <v>0</v>
      </c>
      <c r="M174" s="12">
        <v>0</v>
      </c>
    </row>
    <row r="175" spans="1:13" x14ac:dyDescent="0.25">
      <c r="A175">
        <v>173</v>
      </c>
      <c r="B175" s="38" t="s">
        <v>763</v>
      </c>
      <c r="C175" s="42">
        <v>0</v>
      </c>
      <c r="D175" s="11">
        <v>0</v>
      </c>
      <c r="E175" s="11">
        <v>0</v>
      </c>
      <c r="F175" s="11">
        <v>0</v>
      </c>
      <c r="G175" s="11">
        <v>0</v>
      </c>
      <c r="H175" s="11">
        <v>0</v>
      </c>
      <c r="I175" s="11">
        <v>0</v>
      </c>
      <c r="J175" s="11">
        <v>0</v>
      </c>
      <c r="K175" s="11">
        <v>0</v>
      </c>
      <c r="L175" s="11">
        <v>0</v>
      </c>
      <c r="M175" s="12">
        <v>0</v>
      </c>
    </row>
    <row r="176" spans="1:13" x14ac:dyDescent="0.25">
      <c r="A176">
        <v>174</v>
      </c>
      <c r="B176" s="38" t="s">
        <v>764</v>
      </c>
      <c r="C176" s="42">
        <v>0</v>
      </c>
      <c r="D176" s="11">
        <v>62</v>
      </c>
      <c r="E176" s="11">
        <v>65</v>
      </c>
      <c r="F176" s="11">
        <v>127</v>
      </c>
      <c r="G176" s="11">
        <v>75</v>
      </c>
      <c r="H176" s="11">
        <v>117</v>
      </c>
      <c r="I176" s="11">
        <v>65</v>
      </c>
      <c r="J176" s="11">
        <v>62</v>
      </c>
      <c r="K176" s="11">
        <v>0</v>
      </c>
      <c r="L176" s="11">
        <v>0</v>
      </c>
      <c r="M176" s="12">
        <v>0</v>
      </c>
    </row>
    <row r="177" spans="1:13" x14ac:dyDescent="0.25">
      <c r="A177">
        <v>175</v>
      </c>
      <c r="B177" s="38" t="s">
        <v>753</v>
      </c>
      <c r="C177" s="42">
        <v>0</v>
      </c>
      <c r="D177" s="11">
        <v>1</v>
      </c>
      <c r="E177" s="11">
        <v>1</v>
      </c>
      <c r="F177" s="11">
        <v>1</v>
      </c>
      <c r="G177" s="11">
        <v>1</v>
      </c>
      <c r="H177" s="11">
        <v>1</v>
      </c>
      <c r="I177" s="11">
        <v>0</v>
      </c>
      <c r="J177" s="11">
        <v>0</v>
      </c>
      <c r="K177" s="11">
        <v>0</v>
      </c>
      <c r="L177" s="11">
        <v>0</v>
      </c>
      <c r="M177" s="12">
        <v>0</v>
      </c>
    </row>
    <row r="178" spans="1:13" x14ac:dyDescent="0.25">
      <c r="A178">
        <v>176</v>
      </c>
      <c r="B178" s="38" t="s">
        <v>233</v>
      </c>
      <c r="C178" s="42">
        <v>0</v>
      </c>
      <c r="D178" s="11">
        <v>2</v>
      </c>
      <c r="E178" s="11">
        <v>5</v>
      </c>
      <c r="F178" s="11">
        <v>2</v>
      </c>
      <c r="G178" s="11">
        <v>0</v>
      </c>
      <c r="H178" s="11">
        <v>0</v>
      </c>
      <c r="I178" s="11">
        <v>0</v>
      </c>
      <c r="J178" s="11">
        <v>0</v>
      </c>
      <c r="K178" s="11">
        <v>0</v>
      </c>
      <c r="L178" s="11">
        <v>0</v>
      </c>
      <c r="M178" s="12">
        <v>0</v>
      </c>
    </row>
    <row r="179" spans="1:13" x14ac:dyDescent="0.25">
      <c r="A179">
        <v>177</v>
      </c>
      <c r="B179" s="38" t="s">
        <v>225</v>
      </c>
      <c r="C179" s="42">
        <v>0</v>
      </c>
      <c r="D179" s="11">
        <v>68</v>
      </c>
      <c r="E179" s="11">
        <v>68</v>
      </c>
      <c r="F179" s="11">
        <v>95</v>
      </c>
      <c r="G179" s="11">
        <v>68</v>
      </c>
      <c r="H179" s="11">
        <v>68</v>
      </c>
      <c r="I179" s="11">
        <v>0</v>
      </c>
      <c r="J179" s="11">
        <v>0</v>
      </c>
      <c r="K179" s="11">
        <v>0</v>
      </c>
      <c r="L179" s="11">
        <v>0</v>
      </c>
      <c r="M179" s="12">
        <v>0</v>
      </c>
    </row>
    <row r="180" spans="1:13" x14ac:dyDescent="0.25">
      <c r="A180">
        <v>178</v>
      </c>
      <c r="B180" s="38" t="s">
        <v>238</v>
      </c>
      <c r="C180" s="42">
        <v>0</v>
      </c>
      <c r="D180" s="11">
        <v>25</v>
      </c>
      <c r="E180" s="11">
        <v>21</v>
      </c>
      <c r="F180" s="11">
        <v>19</v>
      </c>
      <c r="G180" s="11">
        <v>0</v>
      </c>
      <c r="H180" s="11">
        <v>0</v>
      </c>
      <c r="I180" s="11">
        <v>0</v>
      </c>
      <c r="J180" s="11">
        <v>0</v>
      </c>
      <c r="K180" s="11">
        <v>0</v>
      </c>
      <c r="L180" s="11">
        <v>0</v>
      </c>
      <c r="M180" s="12">
        <v>0</v>
      </c>
    </row>
    <row r="181" spans="1:13" x14ac:dyDescent="0.25">
      <c r="A181">
        <v>179</v>
      </c>
      <c r="B181" s="38" t="s">
        <v>754</v>
      </c>
      <c r="C181" s="42">
        <v>0</v>
      </c>
      <c r="D181" s="11">
        <v>17</v>
      </c>
      <c r="E181" s="11">
        <v>21</v>
      </c>
      <c r="F181" s="11">
        <v>31</v>
      </c>
      <c r="G181" s="11">
        <v>0</v>
      </c>
      <c r="H181" s="11">
        <v>0</v>
      </c>
      <c r="I181" s="11">
        <v>0</v>
      </c>
      <c r="J181" s="11">
        <v>0</v>
      </c>
      <c r="K181" s="11">
        <v>0</v>
      </c>
      <c r="L181" s="11">
        <v>0</v>
      </c>
      <c r="M181" s="12">
        <v>0</v>
      </c>
    </row>
    <row r="182" spans="1:13" x14ac:dyDescent="0.25">
      <c r="A182">
        <v>180</v>
      </c>
      <c r="B182" s="38" t="s">
        <v>755</v>
      </c>
      <c r="C182" s="42">
        <v>0</v>
      </c>
      <c r="D182" s="11">
        <v>2</v>
      </c>
      <c r="E182" s="11">
        <v>1</v>
      </c>
      <c r="F182" s="11">
        <v>0</v>
      </c>
      <c r="G182" s="11">
        <v>0</v>
      </c>
      <c r="H182" s="11">
        <v>0</v>
      </c>
      <c r="I182" s="11">
        <v>0</v>
      </c>
      <c r="J182" s="11">
        <v>0</v>
      </c>
      <c r="K182" s="11">
        <v>0</v>
      </c>
      <c r="L182" s="11">
        <v>0</v>
      </c>
      <c r="M182" s="12">
        <v>0</v>
      </c>
    </row>
    <row r="183" spans="1:13" x14ac:dyDescent="0.25">
      <c r="A183">
        <v>181</v>
      </c>
      <c r="B183" s="38" t="s">
        <v>756</v>
      </c>
      <c r="C183" s="42">
        <v>0</v>
      </c>
      <c r="D183" s="11">
        <v>252</v>
      </c>
      <c r="E183" s="11">
        <v>64</v>
      </c>
      <c r="F183" s="11">
        <v>64</v>
      </c>
      <c r="G183" s="11">
        <v>60</v>
      </c>
      <c r="H183" s="11">
        <v>0</v>
      </c>
      <c r="I183" s="11">
        <v>0</v>
      </c>
      <c r="J183" s="11">
        <v>0</v>
      </c>
      <c r="K183" s="11">
        <v>0</v>
      </c>
      <c r="L183" s="11">
        <v>0</v>
      </c>
      <c r="M183" s="12">
        <v>0</v>
      </c>
    </row>
    <row r="184" spans="1:13" x14ac:dyDescent="0.25">
      <c r="A184">
        <v>182</v>
      </c>
      <c r="B184" s="38" t="s">
        <v>119</v>
      </c>
      <c r="C184" s="42">
        <v>0</v>
      </c>
      <c r="D184" s="11">
        <v>6</v>
      </c>
      <c r="E184" s="11">
        <v>9</v>
      </c>
      <c r="F184" s="11">
        <v>127</v>
      </c>
      <c r="G184" s="11">
        <v>1</v>
      </c>
      <c r="H184" s="11">
        <v>127</v>
      </c>
      <c r="I184" s="11">
        <v>0</v>
      </c>
      <c r="J184" s="11">
        <v>0</v>
      </c>
      <c r="K184" s="11">
        <v>0</v>
      </c>
      <c r="L184" s="11">
        <v>0</v>
      </c>
      <c r="M184" s="12">
        <v>0</v>
      </c>
    </row>
    <row r="185" spans="1:13" x14ac:dyDescent="0.25">
      <c r="A185">
        <v>183</v>
      </c>
      <c r="B185" s="38" t="s">
        <v>757</v>
      </c>
      <c r="C185" s="42">
        <v>0</v>
      </c>
      <c r="D185" s="11">
        <v>24</v>
      </c>
      <c r="E185" s="11">
        <v>24</v>
      </c>
      <c r="F185" s="11">
        <v>0</v>
      </c>
      <c r="G185" s="11">
        <v>0</v>
      </c>
      <c r="H185" s="11">
        <v>0</v>
      </c>
      <c r="I185" s="11">
        <v>0</v>
      </c>
      <c r="J185" s="11">
        <v>0</v>
      </c>
      <c r="K185" s="11">
        <v>0</v>
      </c>
      <c r="L185" s="11">
        <v>0</v>
      </c>
      <c r="M185" s="12">
        <v>0</v>
      </c>
    </row>
    <row r="186" spans="1:13" x14ac:dyDescent="0.25">
      <c r="A186">
        <v>184</v>
      </c>
      <c r="B186" s="38" t="s">
        <v>758</v>
      </c>
      <c r="C186" s="42">
        <v>0</v>
      </c>
      <c r="D186" s="11">
        <v>128</v>
      </c>
      <c r="E186" s="11">
        <v>128</v>
      </c>
      <c r="F186" s="11">
        <v>96</v>
      </c>
      <c r="G186" s="11">
        <v>0</v>
      </c>
      <c r="H186" s="11">
        <v>0</v>
      </c>
      <c r="I186" s="11">
        <v>0</v>
      </c>
      <c r="J186" s="11">
        <v>0</v>
      </c>
      <c r="K186" s="11">
        <v>0</v>
      </c>
      <c r="L186" s="11">
        <v>0</v>
      </c>
      <c r="M186" s="12">
        <v>0</v>
      </c>
    </row>
    <row r="187" spans="1:13" x14ac:dyDescent="0.25">
      <c r="A187">
        <v>185</v>
      </c>
      <c r="B187" s="38" t="s">
        <v>759</v>
      </c>
      <c r="C187" s="42">
        <v>0</v>
      </c>
      <c r="D187" s="11">
        <v>2</v>
      </c>
      <c r="E187" s="11">
        <v>31</v>
      </c>
      <c r="F187" s="11">
        <v>0</v>
      </c>
      <c r="G187" s="11">
        <v>0</v>
      </c>
      <c r="H187" s="11">
        <v>0</v>
      </c>
      <c r="I187" s="11">
        <v>0</v>
      </c>
      <c r="J187" s="11">
        <v>0</v>
      </c>
      <c r="K187" s="11">
        <v>0</v>
      </c>
      <c r="L187" s="11">
        <v>0</v>
      </c>
      <c r="M187" s="12">
        <v>0</v>
      </c>
    </row>
    <row r="188" spans="1:13" x14ac:dyDescent="0.25">
      <c r="A188">
        <v>186</v>
      </c>
      <c r="B188" s="38" t="s">
        <v>760</v>
      </c>
      <c r="C188" s="42">
        <v>0</v>
      </c>
      <c r="D188" s="11">
        <v>6</v>
      </c>
      <c r="E188" s="11">
        <v>9</v>
      </c>
      <c r="F188" s="11">
        <v>9</v>
      </c>
      <c r="G188" s="11">
        <v>6</v>
      </c>
      <c r="H188" s="11">
        <v>0</v>
      </c>
      <c r="I188" s="11">
        <v>0</v>
      </c>
      <c r="J188" s="11">
        <v>0</v>
      </c>
      <c r="K188" s="11">
        <v>0</v>
      </c>
      <c r="L188" s="11">
        <v>0</v>
      </c>
      <c r="M188" s="12">
        <v>0</v>
      </c>
    </row>
    <row r="189" spans="1:13" x14ac:dyDescent="0.25">
      <c r="A189">
        <v>187</v>
      </c>
      <c r="B189" s="38" t="s">
        <v>174</v>
      </c>
      <c r="C189" s="42">
        <v>0</v>
      </c>
      <c r="D189" s="11">
        <v>34</v>
      </c>
      <c r="E189" s="11">
        <v>20</v>
      </c>
      <c r="F189" s="11">
        <v>42</v>
      </c>
      <c r="G189" s="11">
        <v>20</v>
      </c>
      <c r="H189" s="11">
        <v>8</v>
      </c>
      <c r="I189" s="11">
        <v>0</v>
      </c>
      <c r="J189" s="11">
        <v>0</v>
      </c>
      <c r="K189" s="11">
        <v>0</v>
      </c>
      <c r="L189" s="11">
        <v>0</v>
      </c>
      <c r="M189" s="12">
        <v>0</v>
      </c>
    </row>
    <row r="190" spans="1:13" x14ac:dyDescent="0.25">
      <c r="A190">
        <v>188</v>
      </c>
      <c r="B190" s="38" t="s">
        <v>171</v>
      </c>
      <c r="C190" s="42">
        <v>0</v>
      </c>
      <c r="D190" s="11">
        <v>64</v>
      </c>
      <c r="E190" s="11">
        <v>47</v>
      </c>
      <c r="F190" s="11">
        <v>16</v>
      </c>
      <c r="G190" s="11">
        <v>40</v>
      </c>
      <c r="H190" s="11">
        <v>52</v>
      </c>
      <c r="I190" s="11">
        <v>250</v>
      </c>
      <c r="J190" s="11">
        <v>0</v>
      </c>
      <c r="K190" s="11">
        <v>0</v>
      </c>
      <c r="L190" s="11">
        <v>0</v>
      </c>
      <c r="M190" s="12">
        <v>0</v>
      </c>
    </row>
    <row r="191" spans="1:13" x14ac:dyDescent="0.25">
      <c r="A191">
        <v>189</v>
      </c>
      <c r="B191" s="38" t="s">
        <v>170</v>
      </c>
      <c r="C191" s="42">
        <v>0</v>
      </c>
      <c r="D191" s="11">
        <v>64</v>
      </c>
      <c r="E191" s="11">
        <v>47</v>
      </c>
      <c r="F191" s="11">
        <v>16</v>
      </c>
      <c r="G191" s="11">
        <v>200</v>
      </c>
      <c r="H191" s="11">
        <v>172</v>
      </c>
      <c r="I191" s="11">
        <v>186</v>
      </c>
      <c r="J191" s="11">
        <v>0</v>
      </c>
      <c r="K191" s="11">
        <v>0</v>
      </c>
      <c r="L191" s="11">
        <v>0</v>
      </c>
      <c r="M191" s="12">
        <v>0</v>
      </c>
    </row>
    <row r="192" spans="1:13" x14ac:dyDescent="0.25">
      <c r="A192">
        <v>190</v>
      </c>
      <c r="B192" s="38" t="s">
        <v>761</v>
      </c>
      <c r="C192" s="42">
        <v>0</v>
      </c>
      <c r="D192" s="11">
        <v>85</v>
      </c>
      <c r="E192" s="11">
        <v>53</v>
      </c>
      <c r="F192" s="11">
        <v>31</v>
      </c>
      <c r="G192" s="11">
        <v>40</v>
      </c>
      <c r="H192" s="11">
        <v>52</v>
      </c>
      <c r="I192" s="11">
        <v>250</v>
      </c>
      <c r="J192" s="11">
        <v>0</v>
      </c>
      <c r="K192" s="11">
        <v>0</v>
      </c>
      <c r="L192" s="11">
        <v>0</v>
      </c>
      <c r="M192" s="12">
        <v>0</v>
      </c>
    </row>
    <row r="193" spans="1:13" x14ac:dyDescent="0.25">
      <c r="A193">
        <v>191</v>
      </c>
      <c r="B193" s="38" t="s">
        <v>169</v>
      </c>
      <c r="C193" s="42">
        <v>0</v>
      </c>
      <c r="D193" s="11">
        <v>48</v>
      </c>
      <c r="E193" s="11">
        <v>72</v>
      </c>
      <c r="F193" s="11">
        <v>77</v>
      </c>
      <c r="G193" s="11">
        <v>64</v>
      </c>
      <c r="H193" s="11">
        <v>32</v>
      </c>
      <c r="I193" s="11">
        <v>0</v>
      </c>
      <c r="J193" s="11">
        <v>0</v>
      </c>
      <c r="K193" s="11">
        <v>0</v>
      </c>
      <c r="L193" s="11">
        <v>0</v>
      </c>
      <c r="M193" s="12">
        <v>0</v>
      </c>
    </row>
    <row r="194" spans="1:13" x14ac:dyDescent="0.25">
      <c r="A194">
        <v>192</v>
      </c>
      <c r="B194" s="38" t="s">
        <v>773</v>
      </c>
      <c r="C194" s="42">
        <v>0</v>
      </c>
      <c r="D194" s="11">
        <v>120</v>
      </c>
      <c r="E194" s="11">
        <v>20</v>
      </c>
      <c r="F194" s="11">
        <v>21</v>
      </c>
      <c r="G194" s="11">
        <v>22</v>
      </c>
      <c r="H194" s="11">
        <v>120</v>
      </c>
      <c r="I194" s="11">
        <v>0</v>
      </c>
      <c r="J194" s="11">
        <v>0</v>
      </c>
      <c r="K194" s="11">
        <v>0</v>
      </c>
      <c r="L194" s="11">
        <v>0</v>
      </c>
      <c r="M194" s="12">
        <v>0</v>
      </c>
    </row>
    <row r="195" spans="1:13" x14ac:dyDescent="0.25">
      <c r="A195">
        <v>193</v>
      </c>
      <c r="B195" s="38" t="s">
        <v>774</v>
      </c>
      <c r="C195" s="42">
        <v>0</v>
      </c>
      <c r="D195" s="11">
        <v>120</v>
      </c>
      <c r="E195" s="11">
        <v>22</v>
      </c>
      <c r="F195" s="11">
        <v>21</v>
      </c>
      <c r="G195" s="11">
        <v>20</v>
      </c>
      <c r="H195" s="11">
        <v>120</v>
      </c>
      <c r="I195" s="11">
        <v>0</v>
      </c>
      <c r="J195" s="11">
        <v>0</v>
      </c>
      <c r="K195" s="11">
        <v>0</v>
      </c>
      <c r="L195" s="11">
        <v>0</v>
      </c>
      <c r="M195" s="12">
        <v>0</v>
      </c>
    </row>
    <row r="196" spans="1:13" x14ac:dyDescent="0.25">
      <c r="A196">
        <v>194</v>
      </c>
      <c r="B196" s="38" t="s">
        <v>775</v>
      </c>
      <c r="C196" s="42">
        <v>0</v>
      </c>
      <c r="D196" s="11">
        <v>122</v>
      </c>
      <c r="E196" s="11">
        <v>21</v>
      </c>
      <c r="F196" s="11">
        <v>21</v>
      </c>
      <c r="G196" s="11">
        <v>21</v>
      </c>
      <c r="H196" s="11">
        <v>122</v>
      </c>
      <c r="I196" s="11">
        <v>0</v>
      </c>
      <c r="J196" s="11">
        <v>0</v>
      </c>
      <c r="K196" s="11">
        <v>0</v>
      </c>
      <c r="L196" s="11">
        <v>0</v>
      </c>
      <c r="M196" s="12">
        <v>0</v>
      </c>
    </row>
    <row r="197" spans="1:13" x14ac:dyDescent="0.25">
      <c r="A197">
        <v>195</v>
      </c>
      <c r="B197" s="38" t="s">
        <v>776</v>
      </c>
      <c r="C197" s="42">
        <v>0</v>
      </c>
      <c r="D197" s="11">
        <v>120</v>
      </c>
      <c r="E197" s="11">
        <v>22</v>
      </c>
      <c r="F197" s="11">
        <v>21</v>
      </c>
      <c r="G197" s="11">
        <v>22</v>
      </c>
      <c r="H197" s="11">
        <v>121</v>
      </c>
      <c r="I197" s="11">
        <v>0</v>
      </c>
      <c r="J197" s="11">
        <v>0</v>
      </c>
      <c r="K197" s="11">
        <v>0</v>
      </c>
      <c r="L197" s="11">
        <v>0</v>
      </c>
      <c r="M197" s="12">
        <v>0</v>
      </c>
    </row>
    <row r="198" spans="1:13" x14ac:dyDescent="0.25">
      <c r="A198">
        <v>196</v>
      </c>
      <c r="B198" s="38" t="s">
        <v>772</v>
      </c>
      <c r="C198" s="42">
        <v>0</v>
      </c>
      <c r="D198" s="11">
        <v>120</v>
      </c>
      <c r="E198" s="11">
        <v>21</v>
      </c>
      <c r="F198" s="11">
        <v>20</v>
      </c>
      <c r="G198" s="11">
        <v>21</v>
      </c>
      <c r="H198" s="11">
        <v>120</v>
      </c>
      <c r="I198" s="11">
        <v>0</v>
      </c>
      <c r="J198" s="11">
        <v>0</v>
      </c>
      <c r="K198" s="11">
        <v>0</v>
      </c>
      <c r="L198" s="11">
        <v>0</v>
      </c>
      <c r="M198" s="12">
        <v>0</v>
      </c>
    </row>
    <row r="199" spans="1:13" x14ac:dyDescent="0.25">
      <c r="A199">
        <v>197</v>
      </c>
      <c r="B199" s="38" t="s">
        <v>777</v>
      </c>
      <c r="C199" s="42">
        <v>0</v>
      </c>
      <c r="D199" s="11">
        <v>120</v>
      </c>
      <c r="E199" s="11">
        <v>20</v>
      </c>
      <c r="F199" s="11">
        <v>21</v>
      </c>
      <c r="G199" s="11">
        <v>20</v>
      </c>
      <c r="H199" s="11">
        <v>120</v>
      </c>
      <c r="I199" s="11">
        <v>0</v>
      </c>
      <c r="J199" s="11">
        <v>0</v>
      </c>
      <c r="K199" s="11">
        <v>0</v>
      </c>
      <c r="L199" s="11">
        <v>0</v>
      </c>
      <c r="M199" s="12">
        <v>0</v>
      </c>
    </row>
    <row r="200" spans="1:13" x14ac:dyDescent="0.25">
      <c r="A200">
        <v>198</v>
      </c>
      <c r="B200" s="38" t="s">
        <v>149</v>
      </c>
      <c r="C200" s="42">
        <v>0</v>
      </c>
      <c r="D200" s="11">
        <v>124</v>
      </c>
      <c r="E200" s="11">
        <v>10</v>
      </c>
      <c r="F200" s="11">
        <v>9</v>
      </c>
      <c r="G200" s="11">
        <v>127</v>
      </c>
      <c r="H200" s="11">
        <v>73</v>
      </c>
      <c r="I200" s="11">
        <v>73</v>
      </c>
      <c r="J200" s="11">
        <v>0</v>
      </c>
      <c r="K200" s="11">
        <v>0</v>
      </c>
      <c r="L200" s="11">
        <v>0</v>
      </c>
      <c r="M200" s="12">
        <v>0</v>
      </c>
    </row>
    <row r="201" spans="1:13" x14ac:dyDescent="0.25">
      <c r="A201">
        <v>199</v>
      </c>
      <c r="B201" s="38" t="s">
        <v>132</v>
      </c>
      <c r="C201" s="42">
        <v>0</v>
      </c>
      <c r="D201" s="11">
        <v>30</v>
      </c>
      <c r="E201" s="11">
        <v>161</v>
      </c>
      <c r="F201" s="11">
        <v>161</v>
      </c>
      <c r="G201" s="11">
        <v>97</v>
      </c>
      <c r="H201" s="11">
        <v>18</v>
      </c>
      <c r="I201" s="11">
        <v>0</v>
      </c>
      <c r="J201" s="11">
        <v>0</v>
      </c>
      <c r="K201" s="11">
        <v>0</v>
      </c>
      <c r="L201" s="11">
        <v>0</v>
      </c>
      <c r="M201" s="12">
        <v>0</v>
      </c>
    </row>
    <row r="202" spans="1:13" x14ac:dyDescent="0.25">
      <c r="A202">
        <v>200</v>
      </c>
      <c r="B202" s="38" t="s">
        <v>147</v>
      </c>
      <c r="C202" s="42">
        <v>0</v>
      </c>
      <c r="D202" s="11">
        <v>124</v>
      </c>
      <c r="E202" s="11">
        <v>85</v>
      </c>
      <c r="F202" s="11">
        <v>86</v>
      </c>
      <c r="G202" s="11">
        <v>68</v>
      </c>
      <c r="H202" s="11">
        <v>0</v>
      </c>
      <c r="I202" s="11">
        <v>0</v>
      </c>
      <c r="J202" s="11">
        <v>0</v>
      </c>
      <c r="K202" s="11">
        <v>0</v>
      </c>
      <c r="L202" s="11">
        <v>0</v>
      </c>
      <c r="M202" s="12">
        <v>0</v>
      </c>
    </row>
    <row r="203" spans="1:13" x14ac:dyDescent="0.25">
      <c r="A203">
        <v>201</v>
      </c>
      <c r="B203" s="38" t="s">
        <v>765</v>
      </c>
      <c r="C203" s="42">
        <v>0</v>
      </c>
      <c r="D203" s="11">
        <v>124</v>
      </c>
      <c r="E203" s="11">
        <v>86</v>
      </c>
      <c r="F203" s="11">
        <v>85</v>
      </c>
      <c r="G203" s="11">
        <v>68</v>
      </c>
      <c r="H203" s="11">
        <v>0</v>
      </c>
      <c r="I203" s="11">
        <v>0</v>
      </c>
      <c r="J203" s="11">
        <v>0</v>
      </c>
      <c r="K203" s="11">
        <v>0</v>
      </c>
      <c r="L203" s="11">
        <v>0</v>
      </c>
      <c r="M203" s="12">
        <v>0</v>
      </c>
    </row>
    <row r="204" spans="1:13" x14ac:dyDescent="0.25">
      <c r="A204">
        <v>202</v>
      </c>
      <c r="B204" s="38" t="s">
        <v>766</v>
      </c>
      <c r="C204" s="42">
        <v>0</v>
      </c>
      <c r="D204" s="11">
        <v>126</v>
      </c>
      <c r="E204" s="11">
        <v>85</v>
      </c>
      <c r="F204" s="11">
        <v>85</v>
      </c>
      <c r="G204" s="11">
        <v>70</v>
      </c>
      <c r="H204" s="11">
        <v>0</v>
      </c>
      <c r="I204" s="11">
        <v>0</v>
      </c>
      <c r="J204" s="11">
        <v>0</v>
      </c>
      <c r="K204" s="11">
        <v>0</v>
      </c>
      <c r="L204" s="11">
        <v>0</v>
      </c>
      <c r="M204" s="12">
        <v>0</v>
      </c>
    </row>
    <row r="205" spans="1:13" x14ac:dyDescent="0.25">
      <c r="A205">
        <v>203</v>
      </c>
      <c r="B205" s="38" t="s">
        <v>767</v>
      </c>
      <c r="C205" s="42">
        <v>0</v>
      </c>
      <c r="D205" s="11">
        <v>124</v>
      </c>
      <c r="E205" s="11">
        <v>85</v>
      </c>
      <c r="F205" s="11">
        <v>84</v>
      </c>
      <c r="G205" s="11">
        <v>69</v>
      </c>
      <c r="H205" s="11">
        <v>0</v>
      </c>
      <c r="I205" s="11">
        <v>0</v>
      </c>
      <c r="J205" s="11">
        <v>0</v>
      </c>
      <c r="K205" s="11">
        <v>0</v>
      </c>
      <c r="L205" s="11">
        <v>0</v>
      </c>
      <c r="M205" s="12">
        <v>0</v>
      </c>
    </row>
    <row r="206" spans="1:13" x14ac:dyDescent="0.25">
      <c r="A206">
        <v>204</v>
      </c>
      <c r="B206" s="38" t="s">
        <v>768</v>
      </c>
      <c r="C206" s="42">
        <v>0</v>
      </c>
      <c r="D206" s="11">
        <v>68</v>
      </c>
      <c r="E206" s="11">
        <v>125</v>
      </c>
      <c r="F206" s="11">
        <v>70</v>
      </c>
      <c r="G206" s="11">
        <v>0</v>
      </c>
      <c r="H206" s="11">
        <v>0</v>
      </c>
      <c r="I206" s="11">
        <v>0</v>
      </c>
      <c r="J206" s="11">
        <v>0</v>
      </c>
      <c r="K206" s="11">
        <v>0</v>
      </c>
      <c r="L206" s="11">
        <v>0</v>
      </c>
      <c r="M206" s="12">
        <v>0</v>
      </c>
    </row>
    <row r="207" spans="1:13" x14ac:dyDescent="0.25">
      <c r="A207">
        <v>205</v>
      </c>
      <c r="B207" s="38" t="s">
        <v>769</v>
      </c>
      <c r="C207" s="42">
        <v>0</v>
      </c>
      <c r="D207" s="11">
        <v>68</v>
      </c>
      <c r="E207" s="11">
        <v>126</v>
      </c>
      <c r="F207" s="11">
        <v>69</v>
      </c>
      <c r="G207" s="11">
        <v>0</v>
      </c>
      <c r="H207" s="11">
        <v>0</v>
      </c>
      <c r="I207" s="11">
        <v>0</v>
      </c>
      <c r="J207" s="11">
        <v>0</v>
      </c>
      <c r="K207" s="11">
        <v>0</v>
      </c>
      <c r="L207" s="11">
        <v>0</v>
      </c>
      <c r="M207" s="12">
        <v>0</v>
      </c>
    </row>
    <row r="208" spans="1:13" x14ac:dyDescent="0.25">
      <c r="A208">
        <v>206</v>
      </c>
      <c r="B208" s="38" t="s">
        <v>770</v>
      </c>
      <c r="C208" s="42">
        <v>0</v>
      </c>
      <c r="D208" s="11">
        <v>70</v>
      </c>
      <c r="E208" s="11">
        <v>125</v>
      </c>
      <c r="F208" s="11">
        <v>70</v>
      </c>
      <c r="G208" s="11">
        <v>0</v>
      </c>
      <c r="H208" s="11">
        <v>0</v>
      </c>
      <c r="I208" s="11">
        <v>0</v>
      </c>
      <c r="J208" s="11">
        <v>0</v>
      </c>
      <c r="K208" s="11">
        <v>0</v>
      </c>
      <c r="L208" s="11">
        <v>0</v>
      </c>
      <c r="M208" s="12">
        <v>0</v>
      </c>
    </row>
    <row r="209" spans="1:13" x14ac:dyDescent="0.25">
      <c r="A209">
        <v>207</v>
      </c>
      <c r="B209" s="38" t="s">
        <v>771</v>
      </c>
      <c r="C209" s="42">
        <v>0</v>
      </c>
      <c r="D209" s="11">
        <v>69</v>
      </c>
      <c r="E209" s="11">
        <v>124</v>
      </c>
      <c r="F209" s="11">
        <v>69</v>
      </c>
      <c r="G209" s="11">
        <v>0</v>
      </c>
      <c r="H209" s="11">
        <v>0</v>
      </c>
      <c r="I209" s="11">
        <v>0</v>
      </c>
      <c r="J209" s="11">
        <v>0</v>
      </c>
      <c r="K209" s="11">
        <v>0</v>
      </c>
      <c r="L209" s="11">
        <v>0</v>
      </c>
      <c r="M209" s="12">
        <v>0</v>
      </c>
    </row>
    <row r="210" spans="1:13" x14ac:dyDescent="0.25">
      <c r="A210">
        <v>208</v>
      </c>
      <c r="B210" s="38" t="s">
        <v>778</v>
      </c>
      <c r="C210" s="42">
        <v>0</v>
      </c>
      <c r="D210" s="11">
        <v>4</v>
      </c>
      <c r="E210" s="11">
        <v>127</v>
      </c>
      <c r="F210" s="11">
        <v>69</v>
      </c>
      <c r="G210" s="11">
        <v>65</v>
      </c>
      <c r="H210" s="11">
        <v>65</v>
      </c>
      <c r="I210" s="11">
        <v>62</v>
      </c>
      <c r="J210" s="11">
        <v>0</v>
      </c>
      <c r="K210" s="11">
        <v>0</v>
      </c>
      <c r="L210" s="11">
        <v>0</v>
      </c>
      <c r="M210" s="12">
        <v>0</v>
      </c>
    </row>
    <row r="211" spans="1:13" x14ac:dyDescent="0.25">
      <c r="A211">
        <v>209</v>
      </c>
      <c r="B211" s="38" t="s">
        <v>779</v>
      </c>
      <c r="C211" s="42">
        <v>0</v>
      </c>
      <c r="D211" s="11">
        <v>124</v>
      </c>
      <c r="E211" s="11">
        <v>10</v>
      </c>
      <c r="F211" s="11">
        <v>17</v>
      </c>
      <c r="G211" s="11">
        <v>34</v>
      </c>
      <c r="H211" s="11">
        <v>125</v>
      </c>
      <c r="I211" s="11">
        <v>0</v>
      </c>
      <c r="J211" s="11">
        <v>0</v>
      </c>
      <c r="K211" s="11">
        <v>0</v>
      </c>
      <c r="L211" s="11">
        <v>0</v>
      </c>
      <c r="M211" s="12">
        <v>0</v>
      </c>
    </row>
    <row r="212" spans="1:13" x14ac:dyDescent="0.25">
      <c r="A212">
        <v>210</v>
      </c>
      <c r="B212" s="38" t="s">
        <v>780</v>
      </c>
      <c r="C212" s="42">
        <v>0</v>
      </c>
      <c r="D212" s="11">
        <v>56</v>
      </c>
      <c r="E212" s="11">
        <v>68</v>
      </c>
      <c r="F212" s="11">
        <v>69</v>
      </c>
      <c r="G212" s="11">
        <v>70</v>
      </c>
      <c r="H212" s="11">
        <v>56</v>
      </c>
      <c r="I212" s="11">
        <v>0</v>
      </c>
      <c r="J212" s="11">
        <v>0</v>
      </c>
      <c r="K212" s="11">
        <v>0</v>
      </c>
      <c r="L212" s="11">
        <v>0</v>
      </c>
      <c r="M212" s="12">
        <v>0</v>
      </c>
    </row>
    <row r="213" spans="1:13" x14ac:dyDescent="0.25">
      <c r="A213">
        <v>211</v>
      </c>
      <c r="B213" s="38" t="s">
        <v>781</v>
      </c>
      <c r="C213" s="42">
        <v>0</v>
      </c>
      <c r="D213" s="11">
        <v>56</v>
      </c>
      <c r="E213" s="11">
        <v>70</v>
      </c>
      <c r="F213" s="11">
        <v>69</v>
      </c>
      <c r="G213" s="11">
        <v>68</v>
      </c>
      <c r="H213" s="11">
        <v>56</v>
      </c>
      <c r="I213" s="11">
        <v>0</v>
      </c>
      <c r="J213" s="11">
        <v>0</v>
      </c>
      <c r="K213" s="11">
        <v>0</v>
      </c>
      <c r="L213" s="11">
        <v>0</v>
      </c>
      <c r="M213" s="12">
        <v>0</v>
      </c>
    </row>
    <row r="214" spans="1:13" x14ac:dyDescent="0.25">
      <c r="A214">
        <v>212</v>
      </c>
      <c r="B214" s="38" t="s">
        <v>783</v>
      </c>
      <c r="C214" s="42">
        <v>0</v>
      </c>
      <c r="D214" s="11">
        <v>58</v>
      </c>
      <c r="E214" s="11">
        <v>69</v>
      </c>
      <c r="F214" s="11">
        <v>69</v>
      </c>
      <c r="G214" s="11">
        <v>69</v>
      </c>
      <c r="H214" s="11">
        <v>58</v>
      </c>
      <c r="I214" s="11">
        <v>0</v>
      </c>
      <c r="J214" s="11">
        <v>0</v>
      </c>
      <c r="K214" s="11">
        <v>0</v>
      </c>
      <c r="L214" s="11">
        <v>0</v>
      </c>
      <c r="M214" s="12">
        <v>0</v>
      </c>
    </row>
    <row r="215" spans="1:13" x14ac:dyDescent="0.25">
      <c r="A215">
        <v>213</v>
      </c>
      <c r="B215" s="38" t="s">
        <v>784</v>
      </c>
      <c r="C215" s="42">
        <v>0</v>
      </c>
      <c r="D215" s="11">
        <v>56</v>
      </c>
      <c r="E215" s="11">
        <v>70</v>
      </c>
      <c r="F215" s="11">
        <v>69</v>
      </c>
      <c r="G215" s="11">
        <v>70</v>
      </c>
      <c r="H215" s="11">
        <v>57</v>
      </c>
      <c r="I215" s="11">
        <v>0</v>
      </c>
      <c r="J215" s="11">
        <v>0</v>
      </c>
      <c r="K215" s="11">
        <v>0</v>
      </c>
      <c r="L215" s="11">
        <v>0</v>
      </c>
      <c r="M215" s="12">
        <v>0</v>
      </c>
    </row>
    <row r="216" spans="1:13" x14ac:dyDescent="0.25">
      <c r="A216">
        <v>214</v>
      </c>
      <c r="B216" s="38" t="s">
        <v>782</v>
      </c>
      <c r="C216" s="42">
        <v>0</v>
      </c>
      <c r="D216" s="11">
        <v>56</v>
      </c>
      <c r="E216" s="11">
        <v>69</v>
      </c>
      <c r="F216" s="11">
        <v>68</v>
      </c>
      <c r="G216" s="11">
        <v>69</v>
      </c>
      <c r="H216" s="11">
        <v>56</v>
      </c>
      <c r="I216" s="11">
        <v>0</v>
      </c>
      <c r="J216" s="11">
        <v>0</v>
      </c>
      <c r="K216" s="11">
        <v>0</v>
      </c>
      <c r="L216" s="11">
        <v>0</v>
      </c>
      <c r="M216" s="12">
        <v>0</v>
      </c>
    </row>
    <row r="217" spans="1:13" x14ac:dyDescent="0.25">
      <c r="A217">
        <v>215</v>
      </c>
      <c r="B217" s="38" t="s">
        <v>785</v>
      </c>
      <c r="C217" s="42">
        <v>0</v>
      </c>
      <c r="D217" s="11">
        <v>34</v>
      </c>
      <c r="E217" s="11">
        <v>20</v>
      </c>
      <c r="F217" s="11">
        <v>8</v>
      </c>
      <c r="G217" s="11">
        <v>20</v>
      </c>
      <c r="H217" s="11">
        <v>34</v>
      </c>
      <c r="I217" s="11">
        <v>0</v>
      </c>
      <c r="J217" s="11">
        <v>0</v>
      </c>
      <c r="K217" s="11">
        <v>0</v>
      </c>
      <c r="L217" s="11">
        <v>0</v>
      </c>
      <c r="M217" s="12">
        <v>0</v>
      </c>
    </row>
    <row r="218" spans="1:13" x14ac:dyDescent="0.25">
      <c r="A218">
        <v>216</v>
      </c>
      <c r="B218" s="38" t="s">
        <v>787</v>
      </c>
      <c r="C218" s="42">
        <v>0</v>
      </c>
      <c r="D218" s="11">
        <v>64</v>
      </c>
      <c r="E218" s="11">
        <v>62</v>
      </c>
      <c r="F218" s="11">
        <v>81</v>
      </c>
      <c r="G218" s="11">
        <v>73</v>
      </c>
      <c r="H218" s="11">
        <v>69</v>
      </c>
      <c r="I218" s="11">
        <v>62</v>
      </c>
      <c r="J218" s="11">
        <v>1</v>
      </c>
      <c r="K218" s="11">
        <v>0</v>
      </c>
      <c r="L218" s="11">
        <v>0</v>
      </c>
      <c r="M218" s="12">
        <v>0</v>
      </c>
    </row>
    <row r="219" spans="1:13" x14ac:dyDescent="0.25">
      <c r="A219">
        <v>217</v>
      </c>
      <c r="B219" s="38" t="s">
        <v>788</v>
      </c>
      <c r="C219" s="42">
        <v>0</v>
      </c>
      <c r="D219" s="11">
        <v>60</v>
      </c>
      <c r="E219" s="11">
        <v>65</v>
      </c>
      <c r="F219" s="11">
        <v>66</v>
      </c>
      <c r="G219" s="11">
        <v>64</v>
      </c>
      <c r="H219" s="11">
        <v>60</v>
      </c>
      <c r="I219" s="11">
        <v>0</v>
      </c>
      <c r="J219" s="11">
        <v>0</v>
      </c>
      <c r="K219" s="11">
        <v>0</v>
      </c>
      <c r="L219" s="11">
        <v>0</v>
      </c>
      <c r="M219" s="12">
        <v>0</v>
      </c>
    </row>
    <row r="220" spans="1:13" x14ac:dyDescent="0.25">
      <c r="A220">
        <v>218</v>
      </c>
      <c r="B220" s="38" t="s">
        <v>789</v>
      </c>
      <c r="C220" s="42">
        <v>0</v>
      </c>
      <c r="D220" s="11">
        <v>60</v>
      </c>
      <c r="E220" s="11">
        <v>64</v>
      </c>
      <c r="F220" s="11">
        <v>66</v>
      </c>
      <c r="G220" s="11">
        <v>65</v>
      </c>
      <c r="H220" s="11">
        <v>60</v>
      </c>
      <c r="I220" s="11">
        <v>0</v>
      </c>
      <c r="J220" s="11">
        <v>0</v>
      </c>
      <c r="K220" s="11">
        <v>0</v>
      </c>
      <c r="L220" s="11">
        <v>0</v>
      </c>
      <c r="M220" s="12">
        <v>0</v>
      </c>
    </row>
    <row r="221" spans="1:13" x14ac:dyDescent="0.25">
      <c r="A221">
        <v>219</v>
      </c>
      <c r="B221" s="38" t="s">
        <v>790</v>
      </c>
      <c r="C221" s="42">
        <v>0</v>
      </c>
      <c r="D221" s="11">
        <v>58</v>
      </c>
      <c r="E221" s="11">
        <v>65</v>
      </c>
      <c r="F221" s="11">
        <v>65</v>
      </c>
      <c r="G221" s="11">
        <v>65</v>
      </c>
      <c r="H221" s="11">
        <v>58</v>
      </c>
      <c r="I221" s="11">
        <v>0</v>
      </c>
      <c r="J221" s="11">
        <v>0</v>
      </c>
      <c r="K221" s="11">
        <v>0</v>
      </c>
      <c r="L221" s="11">
        <v>0</v>
      </c>
      <c r="M221" s="12">
        <v>0</v>
      </c>
    </row>
    <row r="222" spans="1:13" x14ac:dyDescent="0.25">
      <c r="A222">
        <v>220</v>
      </c>
      <c r="B222" s="38" t="s">
        <v>791</v>
      </c>
      <c r="C222" s="42">
        <v>0</v>
      </c>
      <c r="D222" s="11">
        <v>60</v>
      </c>
      <c r="E222" s="11">
        <v>65</v>
      </c>
      <c r="F222" s="11">
        <v>64</v>
      </c>
      <c r="G222" s="11">
        <v>65</v>
      </c>
      <c r="H222" s="11">
        <v>60</v>
      </c>
      <c r="I222" s="11">
        <v>0</v>
      </c>
      <c r="J222" s="11">
        <v>0</v>
      </c>
      <c r="K222" s="11">
        <v>0</v>
      </c>
      <c r="L222" s="11">
        <v>0</v>
      </c>
      <c r="M222" s="12">
        <v>0</v>
      </c>
    </row>
    <row r="223" spans="1:13" x14ac:dyDescent="0.25">
      <c r="A223">
        <v>221</v>
      </c>
      <c r="B223" s="38" t="s">
        <v>792</v>
      </c>
      <c r="C223" s="42">
        <v>0</v>
      </c>
      <c r="D223" s="11">
        <v>12</v>
      </c>
      <c r="E223" s="11">
        <v>16</v>
      </c>
      <c r="F223" s="11">
        <v>98</v>
      </c>
      <c r="G223" s="11">
        <v>17</v>
      </c>
      <c r="H223" s="11">
        <v>12</v>
      </c>
      <c r="I223" s="11">
        <v>0</v>
      </c>
      <c r="J223" s="11">
        <v>0</v>
      </c>
      <c r="K223" s="11">
        <v>0</v>
      </c>
      <c r="L223" s="11">
        <v>0</v>
      </c>
      <c r="M223" s="12">
        <v>0</v>
      </c>
    </row>
    <row r="224" spans="1:13" x14ac:dyDescent="0.25">
      <c r="A224">
        <v>222</v>
      </c>
      <c r="B224" s="38" t="s">
        <v>793</v>
      </c>
      <c r="C224" s="42">
        <v>0</v>
      </c>
      <c r="D224" s="11">
        <v>127</v>
      </c>
      <c r="E224" s="11">
        <v>18</v>
      </c>
      <c r="F224" s="11">
        <v>18</v>
      </c>
      <c r="G224" s="11">
        <v>12</v>
      </c>
      <c r="H224" s="11">
        <v>0</v>
      </c>
      <c r="I224" s="11">
        <v>0</v>
      </c>
      <c r="J224" s="11">
        <v>0</v>
      </c>
      <c r="K224" s="11">
        <v>0</v>
      </c>
      <c r="L224" s="11">
        <v>0</v>
      </c>
      <c r="M224" s="12">
        <v>0</v>
      </c>
    </row>
    <row r="225" spans="1:13" x14ac:dyDescent="0.25">
      <c r="A225">
        <v>223</v>
      </c>
      <c r="B225" s="38" t="s">
        <v>786</v>
      </c>
      <c r="C225" s="42">
        <v>0</v>
      </c>
      <c r="D225" s="11">
        <v>254</v>
      </c>
      <c r="E225" s="11">
        <v>37</v>
      </c>
      <c r="F225" s="11">
        <v>37</v>
      </c>
      <c r="G225" s="11">
        <v>26</v>
      </c>
      <c r="H225" s="11">
        <v>0</v>
      </c>
      <c r="I225" s="11">
        <v>0</v>
      </c>
      <c r="J225" s="11">
        <v>0</v>
      </c>
      <c r="K225" s="11">
        <v>0</v>
      </c>
      <c r="L225" s="11">
        <v>0</v>
      </c>
      <c r="M225" s="12">
        <v>0</v>
      </c>
    </row>
    <row r="226" spans="1:13" x14ac:dyDescent="0.25">
      <c r="A226">
        <v>224</v>
      </c>
      <c r="B226" s="38" t="s">
        <v>137</v>
      </c>
      <c r="C226" s="42">
        <v>0</v>
      </c>
      <c r="D226" s="11">
        <v>32</v>
      </c>
      <c r="E226" s="11">
        <v>84</v>
      </c>
      <c r="F226" s="11">
        <v>85</v>
      </c>
      <c r="G226" s="11">
        <v>122</v>
      </c>
      <c r="H226" s="11">
        <v>64</v>
      </c>
      <c r="I226" s="11">
        <v>0</v>
      </c>
      <c r="J226" s="11">
        <v>0</v>
      </c>
      <c r="K226" s="11">
        <v>0</v>
      </c>
      <c r="L226" s="11">
        <v>0</v>
      </c>
      <c r="M226" s="12">
        <v>0</v>
      </c>
    </row>
    <row r="227" spans="1:13" x14ac:dyDescent="0.25">
      <c r="A227">
        <v>225</v>
      </c>
      <c r="B227" s="38" t="s">
        <v>138</v>
      </c>
      <c r="C227" s="42">
        <v>0</v>
      </c>
      <c r="D227" s="11">
        <v>32</v>
      </c>
      <c r="E227" s="11">
        <v>84</v>
      </c>
      <c r="F227" s="11">
        <v>86</v>
      </c>
      <c r="G227" s="11">
        <v>121</v>
      </c>
      <c r="H227" s="11">
        <v>64</v>
      </c>
      <c r="I227" s="11">
        <v>0</v>
      </c>
      <c r="J227" s="11">
        <v>0</v>
      </c>
      <c r="K227" s="11">
        <v>0</v>
      </c>
      <c r="L227" s="11">
        <v>0</v>
      </c>
      <c r="M227" s="12">
        <v>0</v>
      </c>
    </row>
    <row r="228" spans="1:13" x14ac:dyDescent="0.25">
      <c r="A228">
        <v>226</v>
      </c>
      <c r="B228" s="38" t="s">
        <v>794</v>
      </c>
      <c r="C228" s="42">
        <v>0</v>
      </c>
      <c r="D228" s="11">
        <v>34</v>
      </c>
      <c r="E228" s="11">
        <v>85</v>
      </c>
      <c r="F228" s="11">
        <v>85</v>
      </c>
      <c r="G228" s="11">
        <v>121</v>
      </c>
      <c r="H228" s="11">
        <v>66</v>
      </c>
      <c r="I228" s="11">
        <v>0</v>
      </c>
      <c r="J228" s="11">
        <v>0</v>
      </c>
      <c r="K228" s="11">
        <v>0</v>
      </c>
      <c r="L228" s="11">
        <v>0</v>
      </c>
      <c r="M228" s="12">
        <v>0</v>
      </c>
    </row>
    <row r="229" spans="1:13" x14ac:dyDescent="0.25">
      <c r="A229">
        <v>227</v>
      </c>
      <c r="B229" s="38" t="s">
        <v>795</v>
      </c>
      <c r="C229" s="42">
        <v>0</v>
      </c>
      <c r="D229" s="11">
        <v>32</v>
      </c>
      <c r="E229" s="11">
        <v>86</v>
      </c>
      <c r="F229" s="11">
        <v>85</v>
      </c>
      <c r="G229" s="11">
        <v>122</v>
      </c>
      <c r="H229" s="11">
        <v>65</v>
      </c>
      <c r="I229" s="11">
        <v>0</v>
      </c>
      <c r="J229" s="11">
        <v>0</v>
      </c>
      <c r="K229" s="11">
        <v>0</v>
      </c>
      <c r="L229" s="11">
        <v>0</v>
      </c>
      <c r="M229" s="12">
        <v>0</v>
      </c>
    </row>
    <row r="230" spans="1:13" x14ac:dyDescent="0.25">
      <c r="A230">
        <v>228</v>
      </c>
      <c r="B230" s="38" t="s">
        <v>796</v>
      </c>
      <c r="C230" s="42">
        <v>0</v>
      </c>
      <c r="D230" s="11">
        <v>32</v>
      </c>
      <c r="E230" s="11">
        <v>85</v>
      </c>
      <c r="F230" s="11">
        <v>84</v>
      </c>
      <c r="G230" s="11">
        <v>121</v>
      </c>
      <c r="H230" s="11">
        <v>64</v>
      </c>
      <c r="I230" s="11">
        <v>0</v>
      </c>
      <c r="J230" s="11">
        <v>0</v>
      </c>
      <c r="K230" s="11">
        <v>0</v>
      </c>
      <c r="L230" s="11">
        <v>0</v>
      </c>
      <c r="M230" s="12">
        <v>0</v>
      </c>
    </row>
    <row r="231" spans="1:13" x14ac:dyDescent="0.25">
      <c r="A231">
        <v>229</v>
      </c>
      <c r="B231" s="38" t="s">
        <v>797</v>
      </c>
      <c r="C231" s="42">
        <v>0</v>
      </c>
      <c r="D231" s="11">
        <v>32</v>
      </c>
      <c r="E231" s="11">
        <v>84</v>
      </c>
      <c r="F231" s="11">
        <v>85</v>
      </c>
      <c r="G231" s="11">
        <v>120</v>
      </c>
      <c r="H231" s="11">
        <v>64</v>
      </c>
      <c r="I231" s="11">
        <v>0</v>
      </c>
      <c r="J231" s="11">
        <v>0</v>
      </c>
      <c r="K231" s="11">
        <v>0</v>
      </c>
      <c r="L231" s="11">
        <v>0</v>
      </c>
      <c r="M231" s="12">
        <v>0</v>
      </c>
    </row>
    <row r="232" spans="1:13" x14ac:dyDescent="0.25">
      <c r="A232">
        <v>230</v>
      </c>
      <c r="B232" s="38" t="s">
        <v>148</v>
      </c>
      <c r="C232" s="42">
        <v>0</v>
      </c>
      <c r="D232" s="11">
        <v>32</v>
      </c>
      <c r="E232" s="11">
        <v>84</v>
      </c>
      <c r="F232" s="11">
        <v>84</v>
      </c>
      <c r="G232" s="11">
        <v>124</v>
      </c>
      <c r="H232" s="11">
        <v>84</v>
      </c>
      <c r="I232" s="11">
        <v>84</v>
      </c>
      <c r="J232" s="11">
        <v>8</v>
      </c>
      <c r="K232" s="11">
        <v>0</v>
      </c>
      <c r="L232" s="11">
        <v>0</v>
      </c>
      <c r="M232" s="12">
        <v>0</v>
      </c>
    </row>
    <row r="233" spans="1:13" x14ac:dyDescent="0.25">
      <c r="A233">
        <v>231</v>
      </c>
      <c r="B233" s="38" t="s">
        <v>139</v>
      </c>
      <c r="C233" s="42">
        <v>0</v>
      </c>
      <c r="D233" s="11">
        <v>24</v>
      </c>
      <c r="E233" s="11">
        <v>36</v>
      </c>
      <c r="F233" s="11">
        <v>164</v>
      </c>
      <c r="G233" s="11">
        <v>228</v>
      </c>
      <c r="H233" s="11">
        <v>40</v>
      </c>
      <c r="I233" s="11">
        <v>0</v>
      </c>
      <c r="J233" s="11">
        <v>0</v>
      </c>
      <c r="K233" s="11">
        <v>0</v>
      </c>
      <c r="L233" s="11">
        <v>0</v>
      </c>
      <c r="M233" s="12">
        <v>0</v>
      </c>
    </row>
    <row r="234" spans="1:13" x14ac:dyDescent="0.25">
      <c r="A234">
        <v>232</v>
      </c>
      <c r="B234" s="38" t="s">
        <v>142</v>
      </c>
      <c r="C234" s="42">
        <v>0</v>
      </c>
      <c r="D234" s="11">
        <v>56</v>
      </c>
      <c r="E234" s="11">
        <v>84</v>
      </c>
      <c r="F234" s="11">
        <v>85</v>
      </c>
      <c r="G234" s="11">
        <v>86</v>
      </c>
      <c r="H234" s="11">
        <v>88</v>
      </c>
      <c r="I234" s="11">
        <v>0</v>
      </c>
      <c r="J234" s="11">
        <v>0</v>
      </c>
      <c r="K234" s="11">
        <v>0</v>
      </c>
      <c r="L234" s="11">
        <v>0</v>
      </c>
      <c r="M234" s="12">
        <v>0</v>
      </c>
    </row>
    <row r="235" spans="1:13" x14ac:dyDescent="0.25">
      <c r="A235">
        <v>233</v>
      </c>
      <c r="B235" s="38" t="s">
        <v>134</v>
      </c>
      <c r="C235" s="42">
        <v>0</v>
      </c>
      <c r="D235" s="11">
        <v>56</v>
      </c>
      <c r="E235" s="11">
        <v>84</v>
      </c>
      <c r="F235" s="11">
        <v>86</v>
      </c>
      <c r="G235" s="11">
        <v>85</v>
      </c>
      <c r="H235" s="11">
        <v>88</v>
      </c>
      <c r="I235" s="11">
        <v>0</v>
      </c>
      <c r="J235" s="11">
        <v>0</v>
      </c>
      <c r="K235" s="11">
        <v>0</v>
      </c>
      <c r="L235" s="11">
        <v>0</v>
      </c>
      <c r="M235" s="12">
        <v>0</v>
      </c>
    </row>
    <row r="236" spans="1:13" x14ac:dyDescent="0.25">
      <c r="A236">
        <v>234</v>
      </c>
      <c r="B236" s="38" t="s">
        <v>798</v>
      </c>
      <c r="C236" s="42">
        <v>0</v>
      </c>
      <c r="D236" s="11">
        <v>58</v>
      </c>
      <c r="E236" s="11">
        <v>85</v>
      </c>
      <c r="F236" s="11">
        <v>85</v>
      </c>
      <c r="G236" s="11">
        <v>85</v>
      </c>
      <c r="H236" s="11">
        <v>90</v>
      </c>
      <c r="I236" s="11">
        <v>0</v>
      </c>
      <c r="J236" s="11">
        <v>0</v>
      </c>
      <c r="K236" s="11">
        <v>0</v>
      </c>
      <c r="L236" s="11">
        <v>0</v>
      </c>
      <c r="M236" s="12">
        <v>0</v>
      </c>
    </row>
    <row r="237" spans="1:13" x14ac:dyDescent="0.25">
      <c r="A237">
        <v>235</v>
      </c>
      <c r="B237" s="38" t="s">
        <v>799</v>
      </c>
      <c r="C237" s="42">
        <v>0</v>
      </c>
      <c r="D237" s="11">
        <v>56</v>
      </c>
      <c r="E237" s="11">
        <v>85</v>
      </c>
      <c r="F237" s="11">
        <v>84</v>
      </c>
      <c r="G237" s="11">
        <v>85</v>
      </c>
      <c r="H237" s="11">
        <v>88</v>
      </c>
      <c r="I237" s="11">
        <v>0</v>
      </c>
      <c r="J237" s="11">
        <v>0</v>
      </c>
      <c r="K237" s="11">
        <v>0</v>
      </c>
      <c r="L237" s="11">
        <v>0</v>
      </c>
      <c r="M237" s="12">
        <v>0</v>
      </c>
    </row>
    <row r="238" spans="1:13" x14ac:dyDescent="0.25">
      <c r="A238">
        <v>236</v>
      </c>
      <c r="B238" s="38" t="s">
        <v>144</v>
      </c>
      <c r="C238" s="42">
        <v>0</v>
      </c>
      <c r="D238" s="11">
        <v>68</v>
      </c>
      <c r="E238" s="11">
        <v>125</v>
      </c>
      <c r="F238" s="11">
        <v>66</v>
      </c>
      <c r="G238" s="11">
        <v>0</v>
      </c>
      <c r="H238" s="11">
        <v>0</v>
      </c>
      <c r="I238" s="11">
        <v>0</v>
      </c>
      <c r="J238" s="11">
        <v>0</v>
      </c>
      <c r="K238" s="11">
        <v>0</v>
      </c>
      <c r="L238" s="11">
        <v>0</v>
      </c>
      <c r="M238" s="12">
        <v>0</v>
      </c>
    </row>
    <row r="239" spans="1:13" x14ac:dyDescent="0.25">
      <c r="A239">
        <v>237</v>
      </c>
      <c r="B239" s="38" t="s">
        <v>164</v>
      </c>
      <c r="C239" s="42">
        <v>0</v>
      </c>
      <c r="D239" s="11">
        <v>68</v>
      </c>
      <c r="E239" s="11">
        <v>126</v>
      </c>
      <c r="F239" s="11">
        <v>65</v>
      </c>
      <c r="G239" s="11">
        <v>0</v>
      </c>
      <c r="H239" s="11">
        <v>0</v>
      </c>
      <c r="I239" s="11">
        <v>0</v>
      </c>
      <c r="J239" s="11">
        <v>0</v>
      </c>
      <c r="K239" s="11">
        <v>0</v>
      </c>
      <c r="L239" s="11">
        <v>0</v>
      </c>
      <c r="M239" s="12">
        <v>0</v>
      </c>
    </row>
    <row r="240" spans="1:13" x14ac:dyDescent="0.25">
      <c r="A240">
        <v>238</v>
      </c>
      <c r="B240" s="38" t="s">
        <v>800</v>
      </c>
      <c r="C240" s="42">
        <v>0</v>
      </c>
      <c r="D240" s="11">
        <v>70</v>
      </c>
      <c r="E240" s="11">
        <v>125</v>
      </c>
      <c r="F240" s="11">
        <v>66</v>
      </c>
      <c r="G240" s="11">
        <v>0</v>
      </c>
      <c r="H240" s="11">
        <v>0</v>
      </c>
      <c r="I240" s="11">
        <v>0</v>
      </c>
      <c r="J240" s="11">
        <v>0</v>
      </c>
      <c r="K240" s="11">
        <v>0</v>
      </c>
      <c r="L240" s="11">
        <v>0</v>
      </c>
      <c r="M240" s="12">
        <v>0</v>
      </c>
    </row>
    <row r="241" spans="1:13" x14ac:dyDescent="0.25">
      <c r="A241">
        <v>239</v>
      </c>
      <c r="B241" s="38" t="s">
        <v>801</v>
      </c>
      <c r="C241" s="42">
        <v>0</v>
      </c>
      <c r="D241" s="11">
        <v>69</v>
      </c>
      <c r="E241" s="11">
        <v>124</v>
      </c>
      <c r="F241" s="11">
        <v>65</v>
      </c>
      <c r="G241" s="11">
        <v>0</v>
      </c>
      <c r="H241" s="11">
        <v>0</v>
      </c>
      <c r="I241" s="11">
        <v>0</v>
      </c>
      <c r="J241" s="11">
        <v>0</v>
      </c>
      <c r="K241" s="11">
        <v>0</v>
      </c>
      <c r="L241" s="11">
        <v>0</v>
      </c>
      <c r="M241" s="12">
        <v>0</v>
      </c>
    </row>
    <row r="242" spans="1:13" x14ac:dyDescent="0.25">
      <c r="A242">
        <v>240</v>
      </c>
      <c r="B242" s="38" t="s">
        <v>802</v>
      </c>
      <c r="C242" s="42">
        <v>0</v>
      </c>
      <c r="D242" s="11">
        <v>48</v>
      </c>
      <c r="E242" s="11">
        <v>75</v>
      </c>
      <c r="F242" s="11">
        <v>74</v>
      </c>
      <c r="G242" s="11">
        <v>61</v>
      </c>
      <c r="H242" s="11">
        <v>0</v>
      </c>
      <c r="I242" s="11">
        <v>0</v>
      </c>
      <c r="J242" s="11">
        <v>0</v>
      </c>
      <c r="K242" s="11">
        <v>0</v>
      </c>
      <c r="L242" s="11">
        <v>0</v>
      </c>
      <c r="M242" s="12">
        <v>0</v>
      </c>
    </row>
    <row r="243" spans="1:13" x14ac:dyDescent="0.25">
      <c r="A243">
        <v>241</v>
      </c>
      <c r="B243" s="38" t="s">
        <v>803</v>
      </c>
      <c r="C243" s="42">
        <v>0</v>
      </c>
      <c r="D243" s="11">
        <v>122</v>
      </c>
      <c r="E243" s="11">
        <v>9</v>
      </c>
      <c r="F243" s="11">
        <v>10</v>
      </c>
      <c r="G243" s="11">
        <v>113</v>
      </c>
      <c r="H243" s="11">
        <v>0</v>
      </c>
      <c r="I243" s="11">
        <v>0</v>
      </c>
      <c r="J243" s="11">
        <v>0</v>
      </c>
      <c r="K243" s="11">
        <v>0</v>
      </c>
      <c r="L243" s="11">
        <v>0</v>
      </c>
      <c r="M243" s="12">
        <v>0</v>
      </c>
    </row>
    <row r="244" spans="1:13" x14ac:dyDescent="0.25">
      <c r="A244">
        <v>242</v>
      </c>
      <c r="B244" s="38" t="s">
        <v>153</v>
      </c>
      <c r="C244" s="42">
        <v>0</v>
      </c>
      <c r="D244" s="11">
        <v>56</v>
      </c>
      <c r="E244" s="11">
        <v>68</v>
      </c>
      <c r="F244" s="11">
        <v>69</v>
      </c>
      <c r="G244" s="11">
        <v>70</v>
      </c>
      <c r="H244" s="11">
        <v>56</v>
      </c>
      <c r="I244" s="11">
        <v>0</v>
      </c>
      <c r="J244" s="11">
        <v>0</v>
      </c>
      <c r="K244" s="11">
        <v>0</v>
      </c>
      <c r="L244" s="11">
        <v>0</v>
      </c>
      <c r="M244" s="12">
        <v>0</v>
      </c>
    </row>
    <row r="245" spans="1:13" x14ac:dyDescent="0.25">
      <c r="A245">
        <v>243</v>
      </c>
      <c r="B245" s="38" t="s">
        <v>165</v>
      </c>
      <c r="C245" s="42">
        <v>0</v>
      </c>
      <c r="D245" s="11">
        <v>56</v>
      </c>
      <c r="E245" s="11">
        <v>70</v>
      </c>
      <c r="F245" s="11">
        <v>69</v>
      </c>
      <c r="G245" s="11">
        <v>68</v>
      </c>
      <c r="H245" s="11">
        <v>56</v>
      </c>
      <c r="I245" s="11">
        <v>0</v>
      </c>
      <c r="J245" s="11">
        <v>0</v>
      </c>
      <c r="K245" s="11">
        <v>0</v>
      </c>
      <c r="L245" s="11">
        <v>0</v>
      </c>
      <c r="M245" s="12">
        <v>0</v>
      </c>
    </row>
    <row r="246" spans="1:13" x14ac:dyDescent="0.25">
      <c r="A246">
        <v>244</v>
      </c>
      <c r="B246" s="38" t="s">
        <v>804</v>
      </c>
      <c r="C246" s="42">
        <v>0</v>
      </c>
      <c r="D246" s="11">
        <v>58</v>
      </c>
      <c r="E246" s="11">
        <v>69</v>
      </c>
      <c r="F246" s="11">
        <v>69</v>
      </c>
      <c r="G246" s="11">
        <v>69</v>
      </c>
      <c r="H246" s="11">
        <v>58</v>
      </c>
      <c r="I246" s="11">
        <v>0</v>
      </c>
      <c r="J246" s="11">
        <v>0</v>
      </c>
      <c r="K246" s="11">
        <v>0</v>
      </c>
      <c r="L246" s="11">
        <v>0</v>
      </c>
      <c r="M246" s="12">
        <v>0</v>
      </c>
    </row>
    <row r="247" spans="1:13" x14ac:dyDescent="0.25">
      <c r="A247">
        <v>245</v>
      </c>
      <c r="B247" s="38" t="s">
        <v>805</v>
      </c>
      <c r="C247" s="42">
        <v>0</v>
      </c>
      <c r="D247" s="11">
        <v>56</v>
      </c>
      <c r="E247" s="11">
        <v>70</v>
      </c>
      <c r="F247" s="11">
        <v>69</v>
      </c>
      <c r="G247" s="11">
        <v>70</v>
      </c>
      <c r="H247" s="11">
        <v>57</v>
      </c>
      <c r="I247" s="11">
        <v>0</v>
      </c>
      <c r="J247" s="11">
        <v>0</v>
      </c>
      <c r="K247" s="11">
        <v>0</v>
      </c>
      <c r="L247" s="11">
        <v>0</v>
      </c>
      <c r="M247" s="12">
        <v>0</v>
      </c>
    </row>
    <row r="248" spans="1:13" x14ac:dyDescent="0.25">
      <c r="A248">
        <v>246</v>
      </c>
      <c r="B248" s="38" t="s">
        <v>806</v>
      </c>
      <c r="C248" s="42">
        <v>0</v>
      </c>
      <c r="D248" s="11">
        <v>56</v>
      </c>
      <c r="E248" s="11">
        <v>69</v>
      </c>
      <c r="F248" s="11">
        <v>68</v>
      </c>
      <c r="G248" s="11">
        <v>69</v>
      </c>
      <c r="H248" s="11">
        <v>56</v>
      </c>
      <c r="I248" s="11">
        <v>0</v>
      </c>
      <c r="J248" s="11">
        <v>0</v>
      </c>
      <c r="K248" s="11">
        <v>0</v>
      </c>
      <c r="L248" s="11">
        <v>0</v>
      </c>
      <c r="M248" s="12">
        <v>0</v>
      </c>
    </row>
    <row r="249" spans="1:13" x14ac:dyDescent="0.25">
      <c r="A249">
        <v>247</v>
      </c>
      <c r="B249" s="38" t="s">
        <v>807</v>
      </c>
      <c r="C249" s="42">
        <v>0</v>
      </c>
      <c r="D249" s="11">
        <v>8</v>
      </c>
      <c r="E249" s="11">
        <v>8</v>
      </c>
      <c r="F249" s="11">
        <v>42</v>
      </c>
      <c r="G249" s="11">
        <v>8</v>
      </c>
      <c r="H249" s="11">
        <v>8</v>
      </c>
      <c r="I249" s="11">
        <v>0</v>
      </c>
      <c r="J249" s="11">
        <v>0</v>
      </c>
      <c r="K249" s="11">
        <v>0</v>
      </c>
      <c r="L249" s="11">
        <v>0</v>
      </c>
      <c r="M249" s="12">
        <v>0</v>
      </c>
    </row>
    <row r="250" spans="1:13" x14ac:dyDescent="0.25">
      <c r="A250">
        <v>248</v>
      </c>
      <c r="B250" s="38" t="s">
        <v>808</v>
      </c>
      <c r="C250" s="42">
        <v>0</v>
      </c>
      <c r="D250" s="11">
        <v>64</v>
      </c>
      <c r="E250" s="11">
        <v>56</v>
      </c>
      <c r="F250" s="11">
        <v>84</v>
      </c>
      <c r="G250" s="11">
        <v>76</v>
      </c>
      <c r="H250" s="11">
        <v>68</v>
      </c>
      <c r="I250" s="11">
        <v>58</v>
      </c>
      <c r="J250" s="11">
        <v>0</v>
      </c>
      <c r="K250" s="11">
        <v>0</v>
      </c>
      <c r="L250" s="11">
        <v>0</v>
      </c>
      <c r="M250" s="12">
        <v>0</v>
      </c>
    </row>
    <row r="251" spans="1:13" x14ac:dyDescent="0.25">
      <c r="A251">
        <v>249</v>
      </c>
      <c r="B251" s="38" t="s">
        <v>155</v>
      </c>
      <c r="C251" s="42">
        <v>0</v>
      </c>
      <c r="D251" s="11">
        <v>60</v>
      </c>
      <c r="E251" s="11">
        <v>65</v>
      </c>
      <c r="F251" s="11">
        <v>66</v>
      </c>
      <c r="G251" s="11">
        <v>32</v>
      </c>
      <c r="H251" s="11">
        <v>124</v>
      </c>
      <c r="I251" s="11">
        <v>0</v>
      </c>
      <c r="J251" s="11">
        <v>0</v>
      </c>
      <c r="K251" s="11">
        <v>0</v>
      </c>
      <c r="L251" s="11">
        <v>0</v>
      </c>
      <c r="M251" s="12">
        <v>0</v>
      </c>
    </row>
    <row r="252" spans="1:13" x14ac:dyDescent="0.25">
      <c r="A252">
        <v>250</v>
      </c>
      <c r="B252" s="38" t="s">
        <v>166</v>
      </c>
      <c r="C252" s="42">
        <v>0</v>
      </c>
      <c r="D252" s="11">
        <v>60</v>
      </c>
      <c r="E252" s="11">
        <v>64</v>
      </c>
      <c r="F252" s="11">
        <v>66</v>
      </c>
      <c r="G252" s="11">
        <v>33</v>
      </c>
      <c r="H252" s="11">
        <v>124</v>
      </c>
      <c r="I252" s="11">
        <v>0</v>
      </c>
      <c r="J252" s="11">
        <v>0</v>
      </c>
      <c r="K252" s="11">
        <v>0</v>
      </c>
      <c r="L252" s="11">
        <v>0</v>
      </c>
      <c r="M252" s="12">
        <v>0</v>
      </c>
    </row>
    <row r="253" spans="1:13" x14ac:dyDescent="0.25">
      <c r="A253">
        <v>251</v>
      </c>
      <c r="B253" s="38" t="s">
        <v>810</v>
      </c>
      <c r="C253" s="42">
        <v>0</v>
      </c>
      <c r="D253" s="11">
        <v>58</v>
      </c>
      <c r="E253" s="11">
        <v>65</v>
      </c>
      <c r="F253" s="11">
        <v>65</v>
      </c>
      <c r="G253" s="11">
        <v>33</v>
      </c>
      <c r="H253" s="11">
        <v>122</v>
      </c>
      <c r="I253" s="11">
        <v>0</v>
      </c>
      <c r="J253" s="11">
        <v>0</v>
      </c>
      <c r="K253" s="11">
        <v>0</v>
      </c>
      <c r="L253" s="11">
        <v>0</v>
      </c>
      <c r="M253" s="12">
        <v>0</v>
      </c>
    </row>
    <row r="254" spans="1:13" x14ac:dyDescent="0.25">
      <c r="A254">
        <v>252</v>
      </c>
      <c r="B254" s="38" t="s">
        <v>809</v>
      </c>
      <c r="C254" s="42">
        <v>0</v>
      </c>
      <c r="D254" s="11">
        <v>60</v>
      </c>
      <c r="E254" s="11">
        <v>65</v>
      </c>
      <c r="F254" s="11">
        <v>64</v>
      </c>
      <c r="G254" s="11">
        <v>33</v>
      </c>
      <c r="H254" s="11">
        <v>124</v>
      </c>
      <c r="I254" s="11">
        <v>0</v>
      </c>
      <c r="J254" s="11">
        <v>0</v>
      </c>
      <c r="K254" s="11">
        <v>0</v>
      </c>
      <c r="L254" s="11">
        <v>0</v>
      </c>
      <c r="M254" s="12">
        <v>0</v>
      </c>
    </row>
    <row r="255" spans="1:13" x14ac:dyDescent="0.25">
      <c r="A255">
        <v>253</v>
      </c>
      <c r="B255" s="38" t="s">
        <v>811</v>
      </c>
      <c r="C255" s="42">
        <v>0</v>
      </c>
      <c r="D255" s="11">
        <v>156</v>
      </c>
      <c r="E255" s="11">
        <v>162</v>
      </c>
      <c r="F255" s="11">
        <v>161</v>
      </c>
      <c r="G255" s="11">
        <v>124</v>
      </c>
      <c r="H255" s="11">
        <v>0</v>
      </c>
      <c r="I255" s="11">
        <v>0</v>
      </c>
      <c r="J255" s="11">
        <v>0</v>
      </c>
      <c r="K255" s="11">
        <v>0</v>
      </c>
      <c r="L255" s="11">
        <v>0</v>
      </c>
      <c r="M255" s="12">
        <v>0</v>
      </c>
    </row>
    <row r="256" spans="1:13" x14ac:dyDescent="0.25">
      <c r="A256">
        <v>254</v>
      </c>
      <c r="B256" s="38" t="s">
        <v>813</v>
      </c>
      <c r="C256" s="42">
        <v>0</v>
      </c>
      <c r="D256" s="11">
        <v>252</v>
      </c>
      <c r="E256" s="11">
        <v>72</v>
      </c>
      <c r="F256" s="11">
        <v>72</v>
      </c>
      <c r="G256" s="11">
        <v>48</v>
      </c>
      <c r="H256" s="11">
        <v>0</v>
      </c>
      <c r="I256" s="11">
        <v>0</v>
      </c>
      <c r="J256" s="11">
        <v>0</v>
      </c>
      <c r="K256" s="11">
        <v>0</v>
      </c>
      <c r="L256" s="11">
        <v>0</v>
      </c>
      <c r="M256" s="12">
        <v>0</v>
      </c>
    </row>
    <row r="257" spans="1:13" x14ac:dyDescent="0.25">
      <c r="A257">
        <v>255</v>
      </c>
      <c r="B257" s="39" t="s">
        <v>812</v>
      </c>
      <c r="C257" s="46">
        <v>0</v>
      </c>
      <c r="D257" s="13">
        <v>157</v>
      </c>
      <c r="E257" s="13">
        <v>160</v>
      </c>
      <c r="F257" s="13">
        <v>160</v>
      </c>
      <c r="G257" s="13">
        <v>125</v>
      </c>
      <c r="H257" s="13">
        <v>0</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6</v>
      </c>
      <c r="E63" s="11">
        <v>6</v>
      </c>
      <c r="F63" s="11">
        <v>6</v>
      </c>
      <c r="G63" s="11">
        <v>6</v>
      </c>
      <c r="H63" s="11">
        <v>6</v>
      </c>
      <c r="I63" s="11">
        <v>6</v>
      </c>
      <c r="J63" s="11">
        <v>6</v>
      </c>
      <c r="K63" s="11">
        <v>6</v>
      </c>
      <c r="L63" s="11">
        <v>6</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1</v>
      </c>
      <c r="G67" s="11">
        <v>1</v>
      </c>
      <c r="H67" s="11">
        <v>1</v>
      </c>
      <c r="I67" s="11">
        <v>1</v>
      </c>
      <c r="J67" s="11">
        <v>1</v>
      </c>
      <c r="K67" s="11">
        <v>1</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96</v>
      </c>
      <c r="E191" s="11">
        <v>96</v>
      </c>
      <c r="F191" s="11">
        <v>96</v>
      </c>
      <c r="G191" s="11">
        <v>96</v>
      </c>
      <c r="H191" s="11">
        <v>96</v>
      </c>
      <c r="I191" s="11">
        <v>96</v>
      </c>
      <c r="J191" s="11">
        <v>96</v>
      </c>
      <c r="K191" s="11">
        <v>96</v>
      </c>
      <c r="L191" s="11">
        <v>96</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12</v>
      </c>
      <c r="F224" s="11">
        <v>6</v>
      </c>
      <c r="G224" s="11">
        <v>3</v>
      </c>
      <c r="H224" s="11">
        <v>3</v>
      </c>
      <c r="I224" s="11">
        <v>6</v>
      </c>
      <c r="J224" s="11">
        <v>12</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62</v>
      </c>
      <c r="E50" s="11">
        <v>127</v>
      </c>
      <c r="F50" s="11">
        <v>192</v>
      </c>
      <c r="G50" s="11">
        <v>192</v>
      </c>
      <c r="H50" s="11">
        <v>192</v>
      </c>
      <c r="I50" s="11">
        <v>192</v>
      </c>
      <c r="J50" s="11">
        <v>192</v>
      </c>
      <c r="K50" s="11">
        <v>192</v>
      </c>
      <c r="L50" s="11">
        <v>127</v>
      </c>
      <c r="M50" s="12">
        <v>62</v>
      </c>
    </row>
    <row r="51" spans="1:13" x14ac:dyDescent="0.25">
      <c r="A51">
        <v>49</v>
      </c>
      <c r="B51" s="38" t="s">
        <v>550</v>
      </c>
      <c r="C51" s="42">
        <v>10</v>
      </c>
      <c r="D51" s="11">
        <v>0</v>
      </c>
      <c r="E51" s="11">
        <v>0</v>
      </c>
      <c r="F51" s="11">
        <v>0</v>
      </c>
      <c r="G51" s="11">
        <v>0</v>
      </c>
      <c r="H51" s="11">
        <v>0</v>
      </c>
      <c r="I51" s="11">
        <v>0</v>
      </c>
      <c r="J51" s="11">
        <v>0</v>
      </c>
      <c r="K51" s="11">
        <v>0</v>
      </c>
      <c r="L51" s="11">
        <v>127</v>
      </c>
      <c r="M51" s="12">
        <v>62</v>
      </c>
    </row>
    <row r="52" spans="1:13" x14ac:dyDescent="0.25">
      <c r="A52">
        <v>50</v>
      </c>
      <c r="B52" s="38" t="s">
        <v>246</v>
      </c>
      <c r="C52" s="42">
        <v>10</v>
      </c>
      <c r="D52" s="11">
        <v>62</v>
      </c>
      <c r="E52" s="11">
        <v>127</v>
      </c>
      <c r="F52" s="11">
        <v>193</v>
      </c>
      <c r="G52" s="11">
        <v>193</v>
      </c>
      <c r="H52" s="11">
        <v>193</v>
      </c>
      <c r="I52" s="11">
        <v>193</v>
      </c>
      <c r="J52" s="11">
        <v>193</v>
      </c>
      <c r="K52" s="11">
        <v>193</v>
      </c>
      <c r="L52" s="11">
        <v>64</v>
      </c>
      <c r="M52" s="12">
        <v>0</v>
      </c>
    </row>
    <row r="53" spans="1:13" x14ac:dyDescent="0.25">
      <c r="A53">
        <v>51</v>
      </c>
      <c r="B53" s="38" t="s">
        <v>247</v>
      </c>
      <c r="C53" s="42">
        <v>10</v>
      </c>
      <c r="D53" s="11">
        <v>0</v>
      </c>
      <c r="E53" s="11">
        <v>65</v>
      </c>
      <c r="F53" s="11">
        <v>193</v>
      </c>
      <c r="G53" s="11">
        <v>193</v>
      </c>
      <c r="H53" s="11">
        <v>193</v>
      </c>
      <c r="I53" s="11">
        <v>193</v>
      </c>
      <c r="J53" s="11">
        <v>193</v>
      </c>
      <c r="K53" s="11">
        <v>193</v>
      </c>
      <c r="L53" s="11">
        <v>127</v>
      </c>
      <c r="M53" s="12">
        <v>62</v>
      </c>
    </row>
    <row r="54" spans="1:13" x14ac:dyDescent="0.25">
      <c r="A54">
        <v>52</v>
      </c>
      <c r="B54" s="38" t="s">
        <v>551</v>
      </c>
      <c r="C54" s="42">
        <v>10</v>
      </c>
      <c r="D54" s="11">
        <v>0</v>
      </c>
      <c r="E54" s="11">
        <v>0</v>
      </c>
      <c r="F54" s="11">
        <v>1</v>
      </c>
      <c r="G54" s="11">
        <v>1</v>
      </c>
      <c r="H54" s="11">
        <v>1</v>
      </c>
      <c r="I54" s="11">
        <v>1</v>
      </c>
      <c r="J54" s="11">
        <v>1</v>
      </c>
      <c r="K54" s="11">
        <v>1</v>
      </c>
      <c r="L54" s="11">
        <v>127</v>
      </c>
      <c r="M54" s="12">
        <v>62</v>
      </c>
    </row>
    <row r="55" spans="1:13" x14ac:dyDescent="0.25">
      <c r="A55">
        <v>53</v>
      </c>
      <c r="B55" s="38" t="s">
        <v>436</v>
      </c>
      <c r="C55" s="42">
        <v>10</v>
      </c>
      <c r="D55" s="11">
        <v>0</v>
      </c>
      <c r="E55" s="11">
        <v>64</v>
      </c>
      <c r="F55" s="11">
        <v>193</v>
      </c>
      <c r="G55" s="11">
        <v>193</v>
      </c>
      <c r="H55" s="11">
        <v>193</v>
      </c>
      <c r="I55" s="11">
        <v>193</v>
      </c>
      <c r="J55" s="11">
        <v>193</v>
      </c>
      <c r="K55" s="11">
        <v>193</v>
      </c>
      <c r="L55" s="11">
        <v>127</v>
      </c>
      <c r="M55" s="12">
        <v>62</v>
      </c>
    </row>
    <row r="56" spans="1:13" x14ac:dyDescent="0.25">
      <c r="A56">
        <v>54</v>
      </c>
      <c r="B56" s="38" t="s">
        <v>248</v>
      </c>
      <c r="C56" s="42">
        <v>10</v>
      </c>
      <c r="D56" s="11">
        <v>62</v>
      </c>
      <c r="E56" s="11">
        <v>127</v>
      </c>
      <c r="F56" s="11">
        <v>193</v>
      </c>
      <c r="G56" s="11">
        <v>193</v>
      </c>
      <c r="H56" s="11">
        <v>193</v>
      </c>
      <c r="I56" s="11">
        <v>193</v>
      </c>
      <c r="J56" s="11">
        <v>193</v>
      </c>
      <c r="K56" s="11">
        <v>193</v>
      </c>
      <c r="L56" s="11">
        <v>127</v>
      </c>
      <c r="M56" s="12">
        <v>62</v>
      </c>
    </row>
    <row r="57" spans="1:13" x14ac:dyDescent="0.25">
      <c r="A57">
        <v>55</v>
      </c>
      <c r="B57" s="38" t="s">
        <v>249</v>
      </c>
      <c r="C57" s="42">
        <v>10</v>
      </c>
      <c r="D57" s="11">
        <v>0</v>
      </c>
      <c r="E57" s="11">
        <v>0</v>
      </c>
      <c r="F57" s="11">
        <v>0</v>
      </c>
      <c r="G57" s="11">
        <v>0</v>
      </c>
      <c r="H57" s="11">
        <v>0</v>
      </c>
      <c r="I57" s="11">
        <v>0</v>
      </c>
      <c r="J57" s="11">
        <v>0</v>
      </c>
      <c r="K57" s="11">
        <v>0</v>
      </c>
      <c r="L57" s="11">
        <v>127</v>
      </c>
      <c r="M57" s="12">
        <v>62</v>
      </c>
    </row>
    <row r="58" spans="1:13" x14ac:dyDescent="0.25">
      <c r="A58">
        <v>56</v>
      </c>
      <c r="B58" s="38" t="s">
        <v>552</v>
      </c>
      <c r="C58" s="42">
        <v>10</v>
      </c>
      <c r="D58" s="11">
        <v>62</v>
      </c>
      <c r="E58" s="11">
        <v>127</v>
      </c>
      <c r="F58" s="11">
        <v>193</v>
      </c>
      <c r="G58" s="11">
        <v>193</v>
      </c>
      <c r="H58" s="11">
        <v>193</v>
      </c>
      <c r="I58" s="11">
        <v>193</v>
      </c>
      <c r="J58" s="11">
        <v>193</v>
      </c>
      <c r="K58" s="11">
        <v>193</v>
      </c>
      <c r="L58" s="11">
        <v>127</v>
      </c>
      <c r="M58" s="12">
        <v>62</v>
      </c>
    </row>
    <row r="59" spans="1:13" x14ac:dyDescent="0.25">
      <c r="A59">
        <v>57</v>
      </c>
      <c r="B59" s="38" t="s">
        <v>250</v>
      </c>
      <c r="C59" s="42">
        <v>10</v>
      </c>
      <c r="D59" s="11">
        <v>0</v>
      </c>
      <c r="E59" s="11">
        <v>64</v>
      </c>
      <c r="F59" s="11">
        <v>193</v>
      </c>
      <c r="G59" s="11">
        <v>193</v>
      </c>
      <c r="H59" s="11">
        <v>193</v>
      </c>
      <c r="I59" s="11">
        <v>193</v>
      </c>
      <c r="J59" s="11">
        <v>193</v>
      </c>
      <c r="K59" s="11">
        <v>193</v>
      </c>
      <c r="L59" s="11">
        <v>127</v>
      </c>
      <c r="M59" s="12">
        <v>62</v>
      </c>
    </row>
    <row r="60" spans="1:13" x14ac:dyDescent="0.25">
      <c r="A60">
        <v>58</v>
      </c>
      <c r="B60" s="38" t="s">
        <v>20</v>
      </c>
      <c r="C60" s="42">
        <v>2</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62</v>
      </c>
      <c r="E67" s="11">
        <v>127</v>
      </c>
      <c r="F67" s="11">
        <v>1</v>
      </c>
      <c r="G67" s="11">
        <v>1</v>
      </c>
      <c r="H67" s="11">
        <v>1</v>
      </c>
      <c r="I67" s="11">
        <v>1</v>
      </c>
      <c r="J67" s="11">
        <v>1</v>
      </c>
      <c r="K67" s="11">
        <v>1</v>
      </c>
      <c r="L67" s="11">
        <v>127</v>
      </c>
      <c r="M67" s="12">
        <v>62</v>
      </c>
    </row>
    <row r="68" spans="1:13" x14ac:dyDescent="0.25">
      <c r="A68">
        <v>66</v>
      </c>
      <c r="B68" s="38" t="s">
        <v>3</v>
      </c>
      <c r="C68" s="42">
        <v>10</v>
      </c>
      <c r="D68" s="11">
        <v>62</v>
      </c>
      <c r="E68" s="11">
        <v>127</v>
      </c>
      <c r="F68" s="11">
        <v>193</v>
      </c>
      <c r="G68" s="11">
        <v>193</v>
      </c>
      <c r="H68" s="11">
        <v>193</v>
      </c>
      <c r="I68" s="11">
        <v>193</v>
      </c>
      <c r="J68" s="11">
        <v>193</v>
      </c>
      <c r="K68" s="11">
        <v>193</v>
      </c>
      <c r="L68" s="11">
        <v>127</v>
      </c>
      <c r="M68" s="12">
        <v>62</v>
      </c>
    </row>
    <row r="69" spans="1:13" x14ac:dyDescent="0.25">
      <c r="A69">
        <v>67</v>
      </c>
      <c r="B69" s="38" t="s">
        <v>4</v>
      </c>
      <c r="C69" s="42">
        <v>10</v>
      </c>
      <c r="D69" s="11">
        <v>62</v>
      </c>
      <c r="E69" s="11">
        <v>127</v>
      </c>
      <c r="F69" s="11">
        <v>193</v>
      </c>
      <c r="G69" s="11">
        <v>193</v>
      </c>
      <c r="H69" s="11">
        <v>193</v>
      </c>
      <c r="I69" s="11">
        <v>193</v>
      </c>
      <c r="J69" s="11">
        <v>193</v>
      </c>
      <c r="K69" s="11">
        <v>193</v>
      </c>
      <c r="L69" s="11">
        <v>65</v>
      </c>
      <c r="M69" s="12">
        <v>0</v>
      </c>
    </row>
    <row r="70" spans="1:13" x14ac:dyDescent="0.25">
      <c r="A70">
        <v>68</v>
      </c>
      <c r="B70" s="38" t="s">
        <v>27</v>
      </c>
      <c r="C70" s="42">
        <v>10</v>
      </c>
      <c r="D70" s="11">
        <v>62</v>
      </c>
      <c r="E70" s="11">
        <v>127</v>
      </c>
      <c r="F70" s="11">
        <v>193</v>
      </c>
      <c r="G70" s="11">
        <v>193</v>
      </c>
      <c r="H70" s="11">
        <v>193</v>
      </c>
      <c r="I70" s="11">
        <v>193</v>
      </c>
      <c r="J70" s="11">
        <v>193</v>
      </c>
      <c r="K70" s="11">
        <v>193</v>
      </c>
      <c r="L70" s="11">
        <v>127</v>
      </c>
      <c r="M70" s="12">
        <v>62</v>
      </c>
    </row>
    <row r="71" spans="1:13" x14ac:dyDescent="0.25">
      <c r="A71">
        <v>69</v>
      </c>
      <c r="B71" s="38" t="s">
        <v>28</v>
      </c>
      <c r="C71" s="42">
        <v>10</v>
      </c>
      <c r="D71" s="11">
        <v>62</v>
      </c>
      <c r="E71" s="11">
        <v>127</v>
      </c>
      <c r="F71" s="11">
        <v>193</v>
      </c>
      <c r="G71" s="11">
        <v>193</v>
      </c>
      <c r="H71" s="11">
        <v>193</v>
      </c>
      <c r="I71" s="11">
        <v>193</v>
      </c>
      <c r="J71" s="11">
        <v>193</v>
      </c>
      <c r="K71" s="11">
        <v>193</v>
      </c>
      <c r="L71" s="11">
        <v>65</v>
      </c>
      <c r="M71" s="12">
        <v>0</v>
      </c>
    </row>
    <row r="72" spans="1:13" x14ac:dyDescent="0.25">
      <c r="A72">
        <v>70</v>
      </c>
      <c r="B72" s="38" t="s">
        <v>29</v>
      </c>
      <c r="C72" s="42">
        <v>10</v>
      </c>
      <c r="D72" s="11">
        <v>62</v>
      </c>
      <c r="E72" s="11">
        <v>127</v>
      </c>
      <c r="F72" s="11">
        <v>1</v>
      </c>
      <c r="G72" s="11">
        <v>1</v>
      </c>
      <c r="H72" s="11">
        <v>1</v>
      </c>
      <c r="I72" s="11">
        <v>1</v>
      </c>
      <c r="J72" s="11">
        <v>1</v>
      </c>
      <c r="K72" s="11">
        <v>1</v>
      </c>
      <c r="L72" s="11">
        <v>1</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62</v>
      </c>
      <c r="E99" s="11">
        <v>127</v>
      </c>
      <c r="F99" s="11">
        <v>1</v>
      </c>
      <c r="G99" s="11">
        <v>1</v>
      </c>
      <c r="H99" s="11">
        <v>1</v>
      </c>
      <c r="I99" s="11">
        <v>1</v>
      </c>
      <c r="J99" s="11">
        <v>1</v>
      </c>
      <c r="K99" s="11">
        <v>1</v>
      </c>
      <c r="L99" s="11">
        <v>127</v>
      </c>
      <c r="M99" s="12">
        <v>62</v>
      </c>
    </row>
    <row r="100" spans="1:13" x14ac:dyDescent="0.25">
      <c r="A100">
        <v>98</v>
      </c>
      <c r="B100" s="38" t="s">
        <v>57</v>
      </c>
      <c r="C100" s="42">
        <v>10</v>
      </c>
      <c r="D100" s="11">
        <v>62</v>
      </c>
      <c r="E100" s="11">
        <v>127</v>
      </c>
      <c r="F100" s="11">
        <v>193</v>
      </c>
      <c r="G100" s="11">
        <v>193</v>
      </c>
      <c r="H100" s="11">
        <v>193</v>
      </c>
      <c r="I100" s="11">
        <v>193</v>
      </c>
      <c r="J100" s="11">
        <v>193</v>
      </c>
      <c r="K100" s="11">
        <v>193</v>
      </c>
      <c r="L100" s="11">
        <v>127</v>
      </c>
      <c r="M100" s="12">
        <v>62</v>
      </c>
    </row>
    <row r="101" spans="1:13" x14ac:dyDescent="0.25">
      <c r="A101">
        <v>99</v>
      </c>
      <c r="B101" s="38" t="s">
        <v>58</v>
      </c>
      <c r="C101" s="42">
        <v>10</v>
      </c>
      <c r="D101" s="11">
        <v>62</v>
      </c>
      <c r="E101" s="11">
        <v>127</v>
      </c>
      <c r="F101" s="11">
        <v>193</v>
      </c>
      <c r="G101" s="11">
        <v>193</v>
      </c>
      <c r="H101" s="11">
        <v>193</v>
      </c>
      <c r="I101" s="11">
        <v>193</v>
      </c>
      <c r="J101" s="11">
        <v>193</v>
      </c>
      <c r="K101" s="11">
        <v>193</v>
      </c>
      <c r="L101" s="11">
        <v>65</v>
      </c>
      <c r="M101" s="12">
        <v>0</v>
      </c>
    </row>
    <row r="102" spans="1:13" x14ac:dyDescent="0.25">
      <c r="A102">
        <v>100</v>
      </c>
      <c r="B102" s="38" t="s">
        <v>59</v>
      </c>
      <c r="C102" s="42">
        <v>10</v>
      </c>
      <c r="D102" s="11">
        <v>62</v>
      </c>
      <c r="E102" s="11">
        <v>127</v>
      </c>
      <c r="F102" s="11">
        <v>193</v>
      </c>
      <c r="G102" s="11">
        <v>193</v>
      </c>
      <c r="H102" s="11">
        <v>193</v>
      </c>
      <c r="I102" s="11">
        <v>193</v>
      </c>
      <c r="J102" s="11">
        <v>193</v>
      </c>
      <c r="K102" s="11">
        <v>193</v>
      </c>
      <c r="L102" s="11">
        <v>127</v>
      </c>
      <c r="M102" s="12">
        <v>62</v>
      </c>
    </row>
    <row r="103" spans="1:13" x14ac:dyDescent="0.25">
      <c r="A103">
        <v>101</v>
      </c>
      <c r="B103" s="38" t="s">
        <v>60</v>
      </c>
      <c r="C103" s="42">
        <v>10</v>
      </c>
      <c r="D103" s="11">
        <v>62</v>
      </c>
      <c r="E103" s="11">
        <v>127</v>
      </c>
      <c r="F103" s="11">
        <v>193</v>
      </c>
      <c r="G103" s="11">
        <v>193</v>
      </c>
      <c r="H103" s="11">
        <v>193</v>
      </c>
      <c r="I103" s="11">
        <v>193</v>
      </c>
      <c r="J103" s="11">
        <v>193</v>
      </c>
      <c r="K103" s="11">
        <v>193</v>
      </c>
      <c r="L103" s="11">
        <v>65</v>
      </c>
      <c r="M103" s="12">
        <v>0</v>
      </c>
    </row>
    <row r="104" spans="1:13" x14ac:dyDescent="0.25">
      <c r="A104">
        <v>102</v>
      </c>
      <c r="B104" s="38" t="s">
        <v>61</v>
      </c>
      <c r="C104" s="42">
        <v>10</v>
      </c>
      <c r="D104" s="11">
        <v>62</v>
      </c>
      <c r="E104" s="11">
        <v>127</v>
      </c>
      <c r="F104" s="11">
        <v>1</v>
      </c>
      <c r="G104" s="11">
        <v>1</v>
      </c>
      <c r="H104" s="11">
        <v>1</v>
      </c>
      <c r="I104" s="11">
        <v>1</v>
      </c>
      <c r="J104" s="11">
        <v>1</v>
      </c>
      <c r="K104" s="11">
        <v>1</v>
      </c>
      <c r="L104" s="11">
        <v>1</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v>2</v>
      </c>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124</v>
      </c>
      <c r="E178" s="11">
        <v>254</v>
      </c>
      <c r="F178" s="11">
        <v>3</v>
      </c>
      <c r="G178" s="11">
        <v>3</v>
      </c>
      <c r="H178" s="11">
        <v>3</v>
      </c>
      <c r="I178" s="11">
        <v>3</v>
      </c>
      <c r="J178" s="11">
        <v>3</v>
      </c>
      <c r="K178" s="11">
        <v>3</v>
      </c>
      <c r="L178" s="11">
        <v>254</v>
      </c>
      <c r="M178" s="12">
        <v>124</v>
      </c>
    </row>
    <row r="179" spans="1:13" x14ac:dyDescent="0.25">
      <c r="A179">
        <v>177</v>
      </c>
      <c r="B179" s="38"/>
      <c r="C179" s="42"/>
      <c r="D179" s="11">
        <v>0</v>
      </c>
      <c r="E179" s="11">
        <v>0</v>
      </c>
      <c r="F179" s="11">
        <v>0</v>
      </c>
      <c r="G179" s="11">
        <v>0</v>
      </c>
      <c r="H179" s="11">
        <v>0</v>
      </c>
      <c r="I179" s="11">
        <v>0</v>
      </c>
      <c r="J179" s="11">
        <v>0</v>
      </c>
      <c r="K179" s="11">
        <v>0</v>
      </c>
      <c r="L179" s="11">
        <v>254</v>
      </c>
      <c r="M179" s="12">
        <v>124</v>
      </c>
    </row>
    <row r="180" spans="1:13" x14ac:dyDescent="0.25">
      <c r="A180">
        <v>178</v>
      </c>
      <c r="B180" s="38"/>
      <c r="C180" s="42"/>
      <c r="D180" s="11">
        <v>0</v>
      </c>
      <c r="E180" s="11">
        <v>2</v>
      </c>
      <c r="F180" s="11">
        <v>131</v>
      </c>
      <c r="G180" s="11">
        <v>131</v>
      </c>
      <c r="H180" s="11">
        <v>131</v>
      </c>
      <c r="I180" s="11">
        <v>131</v>
      </c>
      <c r="J180" s="11">
        <v>131</v>
      </c>
      <c r="K180" s="11">
        <v>131</v>
      </c>
      <c r="L180" s="11">
        <v>254</v>
      </c>
      <c r="M180" s="12">
        <v>124</v>
      </c>
    </row>
    <row r="181" spans="1:13" x14ac:dyDescent="0.25">
      <c r="A181">
        <v>179</v>
      </c>
      <c r="B181" s="38"/>
      <c r="C181" s="42"/>
      <c r="D181" s="11">
        <v>0</v>
      </c>
      <c r="E181" s="11">
        <v>130</v>
      </c>
      <c r="F181" s="11">
        <v>131</v>
      </c>
      <c r="G181" s="11">
        <v>131</v>
      </c>
      <c r="H181" s="11">
        <v>131</v>
      </c>
      <c r="I181" s="11">
        <v>131</v>
      </c>
      <c r="J181" s="11">
        <v>131</v>
      </c>
      <c r="K181" s="11">
        <v>131</v>
      </c>
      <c r="L181" s="11">
        <v>254</v>
      </c>
      <c r="M181" s="12">
        <v>124</v>
      </c>
    </row>
    <row r="182" spans="1:13" x14ac:dyDescent="0.25">
      <c r="A182">
        <v>180</v>
      </c>
      <c r="B182" s="38"/>
      <c r="C182" s="42"/>
      <c r="D182" s="11">
        <v>124</v>
      </c>
      <c r="E182" s="11">
        <v>254</v>
      </c>
      <c r="F182" s="11">
        <v>128</v>
      </c>
      <c r="G182" s="11">
        <v>128</v>
      </c>
      <c r="H182" s="11">
        <v>128</v>
      </c>
      <c r="I182" s="11">
        <v>128</v>
      </c>
      <c r="J182" s="11">
        <v>128</v>
      </c>
      <c r="K182" s="11">
        <v>128</v>
      </c>
      <c r="L182" s="11">
        <v>254</v>
      </c>
      <c r="M182" s="12">
        <v>124</v>
      </c>
    </row>
    <row r="183" spans="1:13" x14ac:dyDescent="0.25">
      <c r="A183">
        <v>181</v>
      </c>
      <c r="B183" s="38"/>
      <c r="C183" s="42"/>
      <c r="D183" s="11">
        <v>124</v>
      </c>
      <c r="E183" s="11">
        <v>254</v>
      </c>
      <c r="F183" s="11">
        <v>131</v>
      </c>
      <c r="G183" s="11">
        <v>131</v>
      </c>
      <c r="H183" s="11">
        <v>131</v>
      </c>
      <c r="I183" s="11">
        <v>131</v>
      </c>
      <c r="J183" s="11">
        <v>131</v>
      </c>
      <c r="K183" s="11">
        <v>131</v>
      </c>
      <c r="L183" s="11">
        <v>2</v>
      </c>
      <c r="M183" s="12">
        <v>0</v>
      </c>
    </row>
    <row r="184" spans="1:13" x14ac:dyDescent="0.25">
      <c r="A184">
        <v>182</v>
      </c>
      <c r="B184" s="38"/>
      <c r="C184" s="42"/>
      <c r="D184" s="11">
        <v>124</v>
      </c>
      <c r="E184" s="11">
        <v>254</v>
      </c>
      <c r="F184" s="11">
        <v>131</v>
      </c>
      <c r="G184" s="11">
        <v>131</v>
      </c>
      <c r="H184" s="11">
        <v>131</v>
      </c>
      <c r="I184" s="11">
        <v>131</v>
      </c>
      <c r="J184" s="11">
        <v>131</v>
      </c>
      <c r="K184" s="11">
        <v>131</v>
      </c>
      <c r="L184" s="11">
        <v>2</v>
      </c>
      <c r="M184" s="12">
        <v>0</v>
      </c>
    </row>
    <row r="185" spans="1:13" x14ac:dyDescent="0.25">
      <c r="A185">
        <v>183</v>
      </c>
      <c r="B185" s="38"/>
      <c r="C185" s="42"/>
      <c r="D185" s="11">
        <v>0</v>
      </c>
      <c r="E185" s="11">
        <v>2</v>
      </c>
      <c r="F185" s="11">
        <v>3</v>
      </c>
      <c r="G185" s="11">
        <v>3</v>
      </c>
      <c r="H185" s="11">
        <v>3</v>
      </c>
      <c r="I185" s="11">
        <v>3</v>
      </c>
      <c r="J185" s="11">
        <v>3</v>
      </c>
      <c r="K185" s="11">
        <v>3</v>
      </c>
      <c r="L185" s="11">
        <v>254</v>
      </c>
      <c r="M185" s="12">
        <v>124</v>
      </c>
    </row>
    <row r="186" spans="1:13" x14ac:dyDescent="0.25">
      <c r="A186">
        <v>184</v>
      </c>
      <c r="B186" s="38"/>
      <c r="C186" s="42"/>
      <c r="D186" s="11">
        <v>124</v>
      </c>
      <c r="E186" s="11">
        <v>254</v>
      </c>
      <c r="F186" s="11">
        <v>131</v>
      </c>
      <c r="G186" s="11">
        <v>131</v>
      </c>
      <c r="H186" s="11">
        <v>131</v>
      </c>
      <c r="I186" s="11">
        <v>131</v>
      </c>
      <c r="J186" s="11">
        <v>131</v>
      </c>
      <c r="K186" s="11">
        <v>131</v>
      </c>
      <c r="L186" s="11">
        <v>254</v>
      </c>
      <c r="M186" s="12">
        <v>124</v>
      </c>
    </row>
    <row r="187" spans="1:13" x14ac:dyDescent="0.25">
      <c r="A187">
        <v>185</v>
      </c>
      <c r="B187" s="38"/>
      <c r="C187" s="42"/>
      <c r="D187" s="11">
        <v>124</v>
      </c>
      <c r="E187" s="11">
        <v>254</v>
      </c>
      <c r="F187" s="11">
        <v>131</v>
      </c>
      <c r="G187" s="11">
        <v>131</v>
      </c>
      <c r="H187" s="11">
        <v>131</v>
      </c>
      <c r="I187" s="11">
        <v>131</v>
      </c>
      <c r="J187" s="11">
        <v>131</v>
      </c>
      <c r="K187" s="11">
        <v>131</v>
      </c>
      <c r="L187" s="11">
        <v>254</v>
      </c>
      <c r="M187" s="12">
        <v>124</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124</v>
      </c>
      <c r="E195" s="11">
        <v>254</v>
      </c>
      <c r="F195" s="11">
        <v>131</v>
      </c>
      <c r="G195" s="11">
        <v>131</v>
      </c>
      <c r="H195" s="11">
        <v>131</v>
      </c>
      <c r="I195" s="11">
        <v>131</v>
      </c>
      <c r="J195" s="11">
        <v>131</v>
      </c>
      <c r="K195" s="11">
        <v>131</v>
      </c>
      <c r="L195" s="11">
        <v>254</v>
      </c>
      <c r="M195" s="12">
        <v>124</v>
      </c>
    </row>
    <row r="196" spans="1:13" x14ac:dyDescent="0.25">
      <c r="A196">
        <v>194</v>
      </c>
      <c r="B196" s="38"/>
      <c r="C196" s="42"/>
      <c r="D196" s="11">
        <v>124</v>
      </c>
      <c r="E196" s="11">
        <v>254</v>
      </c>
      <c r="F196" s="11">
        <v>128</v>
      </c>
      <c r="G196" s="11">
        <v>128</v>
      </c>
      <c r="H196" s="11">
        <v>128</v>
      </c>
      <c r="I196" s="11">
        <v>128</v>
      </c>
      <c r="J196" s="11">
        <v>128</v>
      </c>
      <c r="K196" s="11">
        <v>128</v>
      </c>
      <c r="L196" s="11">
        <v>0</v>
      </c>
      <c r="M196" s="12">
        <v>0</v>
      </c>
    </row>
    <row r="197" spans="1:13" x14ac:dyDescent="0.25">
      <c r="A197">
        <v>195</v>
      </c>
      <c r="B197" s="38"/>
      <c r="C197" s="42"/>
      <c r="D197" s="11">
        <v>0</v>
      </c>
      <c r="E197" s="11">
        <v>0</v>
      </c>
      <c r="F197" s="11">
        <v>128</v>
      </c>
      <c r="G197" s="11">
        <v>128</v>
      </c>
      <c r="H197" s="11">
        <v>128</v>
      </c>
      <c r="I197" s="11">
        <v>128</v>
      </c>
      <c r="J197" s="11">
        <v>128</v>
      </c>
      <c r="K197" s="11">
        <v>128</v>
      </c>
      <c r="L197" s="11">
        <v>0</v>
      </c>
      <c r="M197" s="12">
        <v>0</v>
      </c>
    </row>
    <row r="198" spans="1:13" x14ac:dyDescent="0.25">
      <c r="A198">
        <v>196</v>
      </c>
      <c r="B198" s="38"/>
      <c r="C198" s="42"/>
      <c r="D198" s="11">
        <v>0</v>
      </c>
      <c r="E198" s="11">
        <v>0</v>
      </c>
      <c r="F198" s="11">
        <v>128</v>
      </c>
      <c r="G198" s="11">
        <v>128</v>
      </c>
      <c r="H198" s="11">
        <v>128</v>
      </c>
      <c r="I198" s="11">
        <v>128</v>
      </c>
      <c r="J198" s="11">
        <v>128</v>
      </c>
      <c r="K198" s="11">
        <v>128</v>
      </c>
      <c r="L198" s="11">
        <v>254</v>
      </c>
      <c r="M198" s="12">
        <v>124</v>
      </c>
    </row>
    <row r="199" spans="1:13" x14ac:dyDescent="0.25">
      <c r="A199">
        <v>197</v>
      </c>
      <c r="B199" s="38"/>
      <c r="C199" s="42"/>
      <c r="D199" s="11">
        <v>124</v>
      </c>
      <c r="E199" s="11">
        <v>254</v>
      </c>
      <c r="F199" s="11">
        <v>131</v>
      </c>
      <c r="G199" s="11">
        <v>131</v>
      </c>
      <c r="H199" s="11">
        <v>131</v>
      </c>
      <c r="I199" s="11">
        <v>131</v>
      </c>
      <c r="J199" s="11">
        <v>131</v>
      </c>
      <c r="K199" s="11">
        <v>131</v>
      </c>
      <c r="L199" s="11">
        <v>130</v>
      </c>
      <c r="M199" s="12">
        <v>0</v>
      </c>
    </row>
    <row r="200" spans="1:13" x14ac:dyDescent="0.25">
      <c r="A200">
        <v>198</v>
      </c>
      <c r="B200" s="38"/>
      <c r="C200" s="42"/>
      <c r="D200" s="11">
        <v>124</v>
      </c>
      <c r="E200" s="11">
        <v>254</v>
      </c>
      <c r="F200" s="11">
        <v>131</v>
      </c>
      <c r="G200" s="11">
        <v>131</v>
      </c>
      <c r="H200" s="11">
        <v>131</v>
      </c>
      <c r="I200" s="11">
        <v>131</v>
      </c>
      <c r="J200" s="11">
        <v>131</v>
      </c>
      <c r="K200" s="11">
        <v>131</v>
      </c>
      <c r="L200" s="11">
        <v>130</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124</v>
      </c>
      <c r="E227" s="11">
        <v>254</v>
      </c>
      <c r="F227" s="11">
        <v>131</v>
      </c>
      <c r="G227" s="11">
        <v>131</v>
      </c>
      <c r="H227" s="11">
        <v>131</v>
      </c>
      <c r="I227" s="11">
        <v>131</v>
      </c>
      <c r="J227" s="11">
        <v>131</v>
      </c>
      <c r="K227" s="11">
        <v>131</v>
      </c>
      <c r="L227" s="11">
        <v>254</v>
      </c>
      <c r="M227" s="12">
        <v>124</v>
      </c>
    </row>
    <row r="228" spans="1:13" x14ac:dyDescent="0.25">
      <c r="A228">
        <v>226</v>
      </c>
      <c r="B228" s="38"/>
      <c r="C228" s="42"/>
      <c r="D228" s="11">
        <v>124</v>
      </c>
      <c r="E228" s="11">
        <v>254</v>
      </c>
      <c r="F228" s="11">
        <v>128</v>
      </c>
      <c r="G228" s="11">
        <v>128</v>
      </c>
      <c r="H228" s="11">
        <v>128</v>
      </c>
      <c r="I228" s="11">
        <v>128</v>
      </c>
      <c r="J228" s="11">
        <v>128</v>
      </c>
      <c r="K228" s="11">
        <v>128</v>
      </c>
      <c r="L228" s="11">
        <v>0</v>
      </c>
      <c r="M228" s="12">
        <v>0</v>
      </c>
    </row>
    <row r="229" spans="1:13" x14ac:dyDescent="0.25">
      <c r="A229">
        <v>227</v>
      </c>
      <c r="B229" s="38"/>
      <c r="C229" s="42"/>
      <c r="D229" s="11">
        <v>0</v>
      </c>
      <c r="E229" s="11">
        <v>0</v>
      </c>
      <c r="F229" s="11">
        <v>128</v>
      </c>
      <c r="G229" s="11">
        <v>128</v>
      </c>
      <c r="H229" s="11">
        <v>128</v>
      </c>
      <c r="I229" s="11">
        <v>128</v>
      </c>
      <c r="J229" s="11">
        <v>128</v>
      </c>
      <c r="K229" s="11">
        <v>128</v>
      </c>
      <c r="L229" s="11">
        <v>0</v>
      </c>
      <c r="M229" s="12">
        <v>0</v>
      </c>
    </row>
    <row r="230" spans="1:13" x14ac:dyDescent="0.25">
      <c r="A230">
        <v>228</v>
      </c>
      <c r="B230" s="38"/>
      <c r="C230" s="42"/>
      <c r="D230" s="11">
        <v>0</v>
      </c>
      <c r="E230" s="11">
        <v>0</v>
      </c>
      <c r="F230" s="11">
        <v>128</v>
      </c>
      <c r="G230" s="11">
        <v>128</v>
      </c>
      <c r="H230" s="11">
        <v>128</v>
      </c>
      <c r="I230" s="11">
        <v>128</v>
      </c>
      <c r="J230" s="11">
        <v>128</v>
      </c>
      <c r="K230" s="11">
        <v>128</v>
      </c>
      <c r="L230" s="11">
        <v>254</v>
      </c>
      <c r="M230" s="12">
        <v>124</v>
      </c>
    </row>
    <row r="231" spans="1:13" x14ac:dyDescent="0.25">
      <c r="A231">
        <v>229</v>
      </c>
      <c r="B231" s="38"/>
      <c r="C231" s="42"/>
      <c r="D231" s="11">
        <v>124</v>
      </c>
      <c r="E231" s="11">
        <v>254</v>
      </c>
      <c r="F231" s="11">
        <v>131</v>
      </c>
      <c r="G231" s="11">
        <v>131</v>
      </c>
      <c r="H231" s="11">
        <v>131</v>
      </c>
      <c r="I231" s="11">
        <v>131</v>
      </c>
      <c r="J231" s="11">
        <v>131</v>
      </c>
      <c r="K231" s="11">
        <v>131</v>
      </c>
      <c r="L231" s="11">
        <v>130</v>
      </c>
      <c r="M231" s="12">
        <v>0</v>
      </c>
    </row>
    <row r="232" spans="1:13" x14ac:dyDescent="0.25">
      <c r="A232">
        <v>230</v>
      </c>
      <c r="B232" s="38"/>
      <c r="C232" s="42"/>
      <c r="D232" s="11">
        <v>124</v>
      </c>
      <c r="E232" s="11">
        <v>254</v>
      </c>
      <c r="F232" s="11">
        <v>131</v>
      </c>
      <c r="G232" s="11">
        <v>131</v>
      </c>
      <c r="H232" s="11">
        <v>131</v>
      </c>
      <c r="I232" s="11">
        <v>131</v>
      </c>
      <c r="J232" s="11">
        <v>131</v>
      </c>
      <c r="K232" s="11">
        <v>131</v>
      </c>
      <c r="L232" s="11">
        <v>130</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v>255</v>
      </c>
      <c r="E254" s="11">
        <v>255</v>
      </c>
      <c r="F254" s="11">
        <v>0</v>
      </c>
      <c r="G254" s="11">
        <v>0</v>
      </c>
      <c r="H254" s="11">
        <v>0</v>
      </c>
      <c r="I254" s="11">
        <v>0</v>
      </c>
      <c r="J254" s="11">
        <v>0</v>
      </c>
      <c r="K254" s="11">
        <v>0</v>
      </c>
      <c r="L254" s="11">
        <v>0</v>
      </c>
      <c r="M254" s="12">
        <v>0</v>
      </c>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57"/>
  <sheetViews>
    <sheetView workbookViewId="0">
      <selection activeCell="B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t="s">
        <v>241</v>
      </c>
      <c r="C2" s="42">
        <v>0</v>
      </c>
      <c r="D2" s="11">
        <v>0</v>
      </c>
      <c r="E2" s="11">
        <v>0</v>
      </c>
      <c r="F2" s="11">
        <v>0</v>
      </c>
      <c r="G2" s="11">
        <v>0</v>
      </c>
      <c r="H2" s="11">
        <v>0</v>
      </c>
      <c r="I2" s="11">
        <v>0</v>
      </c>
      <c r="J2" s="11">
        <v>0</v>
      </c>
      <c r="K2" s="11">
        <v>0</v>
      </c>
      <c r="L2" s="11">
        <v>0</v>
      </c>
      <c r="M2" s="12">
        <v>0</v>
      </c>
    </row>
    <row r="3" spans="1:13" x14ac:dyDescent="0.25">
      <c r="A3">
        <v>1</v>
      </c>
      <c r="B3" s="38"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849</v>
      </c>
      <c r="C130" s="42">
        <v>0</v>
      </c>
      <c r="D130" s="11">
        <v>124</v>
      </c>
      <c r="E130" s="11">
        <v>36</v>
      </c>
      <c r="F130" s="11">
        <v>36</v>
      </c>
      <c r="G130" s="11">
        <v>36</v>
      </c>
      <c r="H130" s="11">
        <v>24</v>
      </c>
      <c r="I130" s="11">
        <v>0</v>
      </c>
      <c r="J130" s="11">
        <v>0</v>
      </c>
      <c r="K130" s="11">
        <v>0</v>
      </c>
      <c r="L130" s="11">
        <v>0</v>
      </c>
      <c r="M130" s="12">
        <v>0</v>
      </c>
    </row>
    <row r="131" spans="1:13" x14ac:dyDescent="0.25">
      <c r="A131">
        <v>129</v>
      </c>
      <c r="B131" s="38" t="s">
        <v>850</v>
      </c>
      <c r="C131" s="42">
        <v>0</v>
      </c>
      <c r="D131" s="11">
        <v>56</v>
      </c>
      <c r="E131" s="11">
        <v>68</v>
      </c>
      <c r="F131" s="11">
        <v>68</v>
      </c>
      <c r="G131" s="11">
        <v>68</v>
      </c>
      <c r="H131" s="11">
        <v>40</v>
      </c>
      <c r="I131" s="11">
        <v>0</v>
      </c>
      <c r="J131" s="11">
        <v>0</v>
      </c>
      <c r="K131" s="11">
        <v>0</v>
      </c>
      <c r="L131" s="11">
        <v>0</v>
      </c>
      <c r="M131" s="12">
        <v>0</v>
      </c>
    </row>
    <row r="132" spans="1:13" x14ac:dyDescent="0.25">
      <c r="A132">
        <v>130</v>
      </c>
      <c r="B132" s="38" t="s">
        <v>851</v>
      </c>
      <c r="C132" s="42">
        <v>0</v>
      </c>
      <c r="D132" s="11">
        <v>4</v>
      </c>
      <c r="E132" s="11">
        <v>4</v>
      </c>
      <c r="F132" s="11">
        <v>124</v>
      </c>
      <c r="G132" s="11">
        <v>4</v>
      </c>
      <c r="H132" s="11">
        <v>4</v>
      </c>
      <c r="I132" s="11">
        <v>0</v>
      </c>
      <c r="J132" s="11">
        <v>0</v>
      </c>
      <c r="K132" s="11">
        <v>0</v>
      </c>
      <c r="L132" s="11">
        <v>0</v>
      </c>
      <c r="M132" s="12">
        <v>0</v>
      </c>
    </row>
    <row r="133" spans="1:13" x14ac:dyDescent="0.25">
      <c r="A133">
        <v>131</v>
      </c>
      <c r="B133" s="38" t="s">
        <v>852</v>
      </c>
      <c r="C133" s="42">
        <v>0</v>
      </c>
      <c r="D133" s="11">
        <v>76</v>
      </c>
      <c r="E133" s="11">
        <v>144</v>
      </c>
      <c r="F133" s="11">
        <v>144</v>
      </c>
      <c r="G133" s="11">
        <v>144</v>
      </c>
      <c r="H133" s="11">
        <v>124</v>
      </c>
      <c r="I133" s="11">
        <v>0</v>
      </c>
      <c r="J133" s="11">
        <v>0</v>
      </c>
      <c r="K133" s="11">
        <v>0</v>
      </c>
      <c r="L133" s="11">
        <v>0</v>
      </c>
      <c r="M133" s="12">
        <v>0</v>
      </c>
    </row>
    <row r="134" spans="1:13" x14ac:dyDescent="0.25">
      <c r="A134">
        <v>132</v>
      </c>
      <c r="B134" s="38" t="s">
        <v>853</v>
      </c>
      <c r="C134" s="42">
        <v>0</v>
      </c>
      <c r="D134" s="11">
        <v>56</v>
      </c>
      <c r="E134" s="11">
        <v>40</v>
      </c>
      <c r="F134" s="11">
        <v>124</v>
      </c>
      <c r="G134" s="11">
        <v>40</v>
      </c>
      <c r="H134" s="11">
        <v>56</v>
      </c>
      <c r="I134" s="11">
        <v>0</v>
      </c>
      <c r="J134" s="11">
        <v>0</v>
      </c>
      <c r="K134" s="11">
        <v>0</v>
      </c>
      <c r="L134" s="11">
        <v>0</v>
      </c>
      <c r="M134" s="12">
        <v>0</v>
      </c>
    </row>
    <row r="135" spans="1:13" x14ac:dyDescent="0.25">
      <c r="A135">
        <v>133</v>
      </c>
      <c r="B135" s="38" t="s">
        <v>854</v>
      </c>
      <c r="C135" s="42">
        <v>0</v>
      </c>
      <c r="D135" s="11">
        <v>68</v>
      </c>
      <c r="E135" s="11">
        <v>40</v>
      </c>
      <c r="F135" s="11">
        <v>16</v>
      </c>
      <c r="G135" s="11">
        <v>40</v>
      </c>
      <c r="H135" s="11">
        <v>68</v>
      </c>
      <c r="I135" s="11">
        <v>0</v>
      </c>
      <c r="J135" s="11">
        <v>0</v>
      </c>
      <c r="K135" s="11">
        <v>0</v>
      </c>
      <c r="L135" s="11">
        <v>0</v>
      </c>
      <c r="M135" s="12">
        <v>0</v>
      </c>
    </row>
    <row r="136" spans="1:13" x14ac:dyDescent="0.25">
      <c r="A136">
        <v>134</v>
      </c>
      <c r="B136" s="38" t="s">
        <v>855</v>
      </c>
      <c r="C136" s="42">
        <v>0</v>
      </c>
      <c r="D136" s="11">
        <v>124</v>
      </c>
      <c r="E136" s="11">
        <v>64</v>
      </c>
      <c r="F136" s="11">
        <v>64</v>
      </c>
      <c r="G136" s="11">
        <v>124</v>
      </c>
      <c r="H136" s="11">
        <v>192</v>
      </c>
      <c r="I136" s="11">
        <v>0</v>
      </c>
      <c r="J136" s="11">
        <v>0</v>
      </c>
      <c r="K136" s="11">
        <v>0</v>
      </c>
      <c r="L136" s="11">
        <v>0</v>
      </c>
      <c r="M136" s="12">
        <v>0</v>
      </c>
    </row>
    <row r="137" spans="1:13" x14ac:dyDescent="0.25">
      <c r="A137">
        <v>135</v>
      </c>
      <c r="B137" s="38" t="s">
        <v>856</v>
      </c>
      <c r="C137" s="42">
        <v>0</v>
      </c>
      <c r="D137" s="11">
        <v>12</v>
      </c>
      <c r="E137" s="11">
        <v>16</v>
      </c>
      <c r="F137" s="11">
        <v>16</v>
      </c>
      <c r="G137" s="11">
        <v>16</v>
      </c>
      <c r="H137" s="11">
        <v>124</v>
      </c>
      <c r="I137" s="11">
        <v>0</v>
      </c>
      <c r="J137" s="11">
        <v>0</v>
      </c>
      <c r="K137" s="11">
        <v>0</v>
      </c>
      <c r="L137" s="11">
        <v>0</v>
      </c>
      <c r="M137" s="12">
        <v>0</v>
      </c>
    </row>
    <row r="138" spans="1:13" x14ac:dyDescent="0.25">
      <c r="A138">
        <v>136</v>
      </c>
      <c r="B138" s="38" t="s">
        <v>857</v>
      </c>
      <c r="C138" s="42">
        <v>0</v>
      </c>
      <c r="D138" s="11">
        <v>124</v>
      </c>
      <c r="E138" s="11">
        <v>64</v>
      </c>
      <c r="F138" s="11">
        <v>124</v>
      </c>
      <c r="G138" s="11">
        <v>64</v>
      </c>
      <c r="H138" s="11">
        <v>124</v>
      </c>
      <c r="I138" s="11">
        <v>0</v>
      </c>
      <c r="J138" s="11">
        <v>0</v>
      </c>
      <c r="K138" s="11">
        <v>0</v>
      </c>
      <c r="L138" s="11">
        <v>0</v>
      </c>
      <c r="M138" s="12">
        <v>0</v>
      </c>
    </row>
    <row r="139" spans="1:13" x14ac:dyDescent="0.25">
      <c r="A139">
        <v>137</v>
      </c>
      <c r="B139" s="38" t="s">
        <v>858</v>
      </c>
      <c r="C139" s="42">
        <v>0</v>
      </c>
      <c r="D139" s="11">
        <v>124</v>
      </c>
      <c r="E139" s="11">
        <v>64</v>
      </c>
      <c r="F139" s="11">
        <v>124</v>
      </c>
      <c r="G139" s="11">
        <v>64</v>
      </c>
      <c r="H139" s="11">
        <v>252</v>
      </c>
      <c r="I139" s="11">
        <v>0</v>
      </c>
      <c r="J139" s="11">
        <v>0</v>
      </c>
      <c r="K139" s="11">
        <v>0</v>
      </c>
      <c r="L139" s="11">
        <v>0</v>
      </c>
      <c r="M139" s="12">
        <v>0</v>
      </c>
    </row>
    <row r="140" spans="1:13" x14ac:dyDescent="0.25">
      <c r="A140">
        <v>138</v>
      </c>
      <c r="B140" s="38" t="s">
        <v>859</v>
      </c>
      <c r="C140" s="42">
        <v>0</v>
      </c>
      <c r="D140" s="11">
        <v>4</v>
      </c>
      <c r="E140" s="11">
        <v>124</v>
      </c>
      <c r="F140" s="11">
        <v>80</v>
      </c>
      <c r="G140" s="11">
        <v>80</v>
      </c>
      <c r="H140" s="11">
        <v>32</v>
      </c>
      <c r="I140" s="11">
        <v>0</v>
      </c>
      <c r="J140" s="11">
        <v>0</v>
      </c>
      <c r="K140" s="11">
        <v>0</v>
      </c>
      <c r="L140" s="11">
        <v>0</v>
      </c>
      <c r="M140" s="12">
        <v>0</v>
      </c>
    </row>
    <row r="141" spans="1:13" x14ac:dyDescent="0.25">
      <c r="A141">
        <v>139</v>
      </c>
      <c r="B141" s="38" t="s">
        <v>860</v>
      </c>
      <c r="C141" s="42">
        <v>0</v>
      </c>
      <c r="D141" s="11">
        <v>124</v>
      </c>
      <c r="E141" s="11">
        <v>80</v>
      </c>
      <c r="F141" s="11">
        <v>112</v>
      </c>
      <c r="G141" s="11">
        <v>0</v>
      </c>
      <c r="H141" s="11">
        <v>124</v>
      </c>
      <c r="I141" s="11">
        <v>0</v>
      </c>
      <c r="J141" s="11">
        <v>0</v>
      </c>
      <c r="K141" s="11">
        <v>0</v>
      </c>
      <c r="L141" s="11">
        <v>0</v>
      </c>
      <c r="M141" s="12">
        <v>0</v>
      </c>
    </row>
    <row r="142" spans="1:13" x14ac:dyDescent="0.25">
      <c r="A142">
        <v>140</v>
      </c>
      <c r="B142" s="38" t="s">
        <v>861</v>
      </c>
      <c r="C142" s="42">
        <v>0</v>
      </c>
      <c r="D142" s="11">
        <v>68</v>
      </c>
      <c r="E142" s="11">
        <v>84</v>
      </c>
      <c r="F142" s="11">
        <v>84</v>
      </c>
      <c r="G142" s="11">
        <v>56</v>
      </c>
      <c r="H142" s="11">
        <v>0</v>
      </c>
      <c r="I142" s="11">
        <v>0</v>
      </c>
      <c r="J142" s="11">
        <v>0</v>
      </c>
      <c r="K142" s="11">
        <v>0</v>
      </c>
      <c r="L142" s="11">
        <v>0</v>
      </c>
      <c r="M142" s="12">
        <v>0</v>
      </c>
    </row>
    <row r="143" spans="1:13" x14ac:dyDescent="0.25">
      <c r="A143">
        <v>141</v>
      </c>
      <c r="B143" s="38" t="s">
        <v>862</v>
      </c>
      <c r="C143" s="42">
        <v>0</v>
      </c>
      <c r="D143" s="11">
        <v>1</v>
      </c>
      <c r="E143" s="11">
        <v>69</v>
      </c>
      <c r="F143" s="11">
        <v>124</v>
      </c>
      <c r="G143" s="11">
        <v>64</v>
      </c>
      <c r="H143" s="11">
        <v>0</v>
      </c>
      <c r="I143" s="11">
        <v>0</v>
      </c>
      <c r="J143" s="11">
        <v>0</v>
      </c>
      <c r="K143" s="11">
        <v>0</v>
      </c>
      <c r="L143" s="11">
        <v>0</v>
      </c>
      <c r="M143" s="12">
        <v>0</v>
      </c>
    </row>
    <row r="144" spans="1:13" x14ac:dyDescent="0.25">
      <c r="A144">
        <v>142</v>
      </c>
      <c r="B144" s="38" t="s">
        <v>863</v>
      </c>
      <c r="C144" s="42">
        <v>0</v>
      </c>
      <c r="D144" s="11">
        <v>124</v>
      </c>
      <c r="E144" s="11">
        <v>16</v>
      </c>
      <c r="F144" s="11">
        <v>124</v>
      </c>
      <c r="G144" s="11">
        <v>68</v>
      </c>
      <c r="H144" s="11">
        <v>124</v>
      </c>
      <c r="I144" s="11">
        <v>0</v>
      </c>
      <c r="J144" s="11">
        <v>0</v>
      </c>
      <c r="K144" s="11">
        <v>0</v>
      </c>
      <c r="L144" s="11">
        <v>0</v>
      </c>
      <c r="M144" s="12">
        <v>0</v>
      </c>
    </row>
    <row r="145" spans="1:13" x14ac:dyDescent="0.25">
      <c r="A145">
        <v>143</v>
      </c>
      <c r="B145" s="38" t="s">
        <v>864</v>
      </c>
      <c r="C145" s="42">
        <v>0</v>
      </c>
      <c r="D145" s="11">
        <v>88</v>
      </c>
      <c r="E145" s="11">
        <v>36</v>
      </c>
      <c r="F145" s="11">
        <v>36</v>
      </c>
      <c r="G145" s="11">
        <v>124</v>
      </c>
      <c r="H145" s="11">
        <v>0</v>
      </c>
      <c r="I145" s="11">
        <v>0</v>
      </c>
      <c r="J145" s="11">
        <v>0</v>
      </c>
      <c r="K145" s="11">
        <v>0</v>
      </c>
      <c r="L145" s="11">
        <v>0</v>
      </c>
      <c r="M145" s="12">
        <v>0</v>
      </c>
    </row>
    <row r="146" spans="1:13" x14ac:dyDescent="0.25">
      <c r="A146">
        <v>144</v>
      </c>
      <c r="B146" s="38" t="s">
        <v>865</v>
      </c>
      <c r="C146" s="42">
        <v>0</v>
      </c>
      <c r="D146" s="11">
        <v>252</v>
      </c>
      <c r="E146" s="11">
        <v>18</v>
      </c>
      <c r="F146" s="11">
        <v>17</v>
      </c>
      <c r="G146" s="11">
        <v>18</v>
      </c>
      <c r="H146" s="11">
        <v>252</v>
      </c>
      <c r="I146" s="11">
        <v>0</v>
      </c>
      <c r="J146" s="11">
        <v>0</v>
      </c>
      <c r="K146" s="11">
        <v>0</v>
      </c>
      <c r="L146" s="11">
        <v>0</v>
      </c>
      <c r="M146" s="12">
        <v>0</v>
      </c>
    </row>
    <row r="147" spans="1:13" x14ac:dyDescent="0.25">
      <c r="A147">
        <v>145</v>
      </c>
      <c r="B147" s="38" t="s">
        <v>866</v>
      </c>
      <c r="C147" s="42">
        <v>0</v>
      </c>
      <c r="D147" s="11">
        <v>127</v>
      </c>
      <c r="E147" s="11">
        <v>69</v>
      </c>
      <c r="F147" s="11">
        <v>69</v>
      </c>
      <c r="G147" s="11">
        <v>69</v>
      </c>
      <c r="H147" s="11">
        <v>56</v>
      </c>
      <c r="I147" s="11">
        <v>0</v>
      </c>
      <c r="J147" s="11">
        <v>0</v>
      </c>
      <c r="K147" s="11">
        <v>0</v>
      </c>
      <c r="L147" s="11">
        <v>0</v>
      </c>
      <c r="M147" s="12">
        <v>0</v>
      </c>
    </row>
    <row r="148" spans="1:13" x14ac:dyDescent="0.25">
      <c r="A148">
        <v>146</v>
      </c>
      <c r="B148" s="38" t="s">
        <v>867</v>
      </c>
      <c r="C148" s="42">
        <v>0</v>
      </c>
      <c r="D148" s="11">
        <v>127</v>
      </c>
      <c r="E148" s="11">
        <v>73</v>
      </c>
      <c r="F148" s="11">
        <v>73</v>
      </c>
      <c r="G148" s="11">
        <v>73</v>
      </c>
      <c r="H148" s="11">
        <v>54</v>
      </c>
      <c r="I148" s="11">
        <v>0</v>
      </c>
      <c r="J148" s="11">
        <v>0</v>
      </c>
      <c r="K148" s="11">
        <v>0</v>
      </c>
      <c r="L148" s="11">
        <v>0</v>
      </c>
      <c r="M148" s="12">
        <v>0</v>
      </c>
    </row>
    <row r="149" spans="1:13" x14ac:dyDescent="0.25">
      <c r="A149">
        <v>147</v>
      </c>
      <c r="B149" s="38" t="s">
        <v>868</v>
      </c>
      <c r="C149" s="42">
        <v>0</v>
      </c>
      <c r="D149" s="11">
        <v>127</v>
      </c>
      <c r="E149" s="11">
        <v>1</v>
      </c>
      <c r="F149" s="11">
        <v>1</v>
      </c>
      <c r="G149" s="11">
        <v>1</v>
      </c>
      <c r="H149" s="11">
        <v>3</v>
      </c>
      <c r="I149" s="11">
        <v>0</v>
      </c>
      <c r="J149" s="11">
        <v>0</v>
      </c>
      <c r="K149" s="11">
        <v>0</v>
      </c>
      <c r="L149" s="11">
        <v>0</v>
      </c>
      <c r="M149" s="12">
        <v>0</v>
      </c>
    </row>
    <row r="150" spans="1:13" x14ac:dyDescent="0.25">
      <c r="A150">
        <v>148</v>
      </c>
      <c r="B150" s="38" t="s">
        <v>869</v>
      </c>
      <c r="C150" s="42">
        <v>0</v>
      </c>
      <c r="D150" s="11">
        <v>192</v>
      </c>
      <c r="E150" s="11">
        <v>124</v>
      </c>
      <c r="F150" s="11">
        <v>66</v>
      </c>
      <c r="G150" s="11">
        <v>127</v>
      </c>
      <c r="H150" s="11">
        <v>192</v>
      </c>
      <c r="I150" s="11">
        <v>0</v>
      </c>
      <c r="J150" s="11">
        <v>0</v>
      </c>
      <c r="K150" s="11">
        <v>0</v>
      </c>
      <c r="L150" s="11">
        <v>0</v>
      </c>
      <c r="M150" s="12">
        <v>0</v>
      </c>
    </row>
    <row r="151" spans="1:13" x14ac:dyDescent="0.25">
      <c r="A151">
        <v>149</v>
      </c>
      <c r="B151" s="38" t="s">
        <v>870</v>
      </c>
      <c r="C151" s="42">
        <v>0</v>
      </c>
      <c r="D151" s="11">
        <v>127</v>
      </c>
      <c r="E151" s="11">
        <v>73</v>
      </c>
      <c r="F151" s="11">
        <v>73</v>
      </c>
      <c r="G151" s="11">
        <v>73</v>
      </c>
      <c r="H151" s="11">
        <v>65</v>
      </c>
      <c r="I151" s="11">
        <v>0</v>
      </c>
      <c r="J151" s="11">
        <v>0</v>
      </c>
      <c r="K151" s="11">
        <v>0</v>
      </c>
      <c r="L151" s="11">
        <v>0</v>
      </c>
      <c r="M151" s="12">
        <v>0</v>
      </c>
    </row>
    <row r="152" spans="1:13" x14ac:dyDescent="0.25">
      <c r="A152">
        <v>150</v>
      </c>
      <c r="B152" s="38" t="s">
        <v>871</v>
      </c>
      <c r="C152" s="42">
        <v>0</v>
      </c>
      <c r="D152" s="11">
        <v>119</v>
      </c>
      <c r="E152" s="11">
        <v>8</v>
      </c>
      <c r="F152" s="11">
        <v>127</v>
      </c>
      <c r="G152" s="11">
        <v>8</v>
      </c>
      <c r="H152" s="11">
        <v>119</v>
      </c>
      <c r="I152" s="11">
        <v>0</v>
      </c>
      <c r="J152" s="11">
        <v>0</v>
      </c>
      <c r="K152" s="11">
        <v>0</v>
      </c>
      <c r="L152" s="11">
        <v>0</v>
      </c>
      <c r="M152" s="12">
        <v>0</v>
      </c>
    </row>
    <row r="153" spans="1:13" x14ac:dyDescent="0.25">
      <c r="A153">
        <v>151</v>
      </c>
      <c r="B153" s="38" t="s">
        <v>872</v>
      </c>
      <c r="C153" s="42">
        <v>0</v>
      </c>
      <c r="D153" s="11">
        <v>34</v>
      </c>
      <c r="E153" s="11">
        <v>65</v>
      </c>
      <c r="F153" s="11">
        <v>73</v>
      </c>
      <c r="G153" s="11">
        <v>73</v>
      </c>
      <c r="H153" s="11">
        <v>54</v>
      </c>
      <c r="I153" s="11">
        <v>0</v>
      </c>
      <c r="J153" s="11">
        <v>0</v>
      </c>
      <c r="K153" s="11">
        <v>0</v>
      </c>
      <c r="L153" s="11">
        <v>0</v>
      </c>
      <c r="M153" s="12">
        <v>0</v>
      </c>
    </row>
    <row r="154" spans="1:13" x14ac:dyDescent="0.25">
      <c r="A154">
        <v>152</v>
      </c>
      <c r="B154" s="38" t="s">
        <v>873</v>
      </c>
      <c r="C154" s="42">
        <v>0</v>
      </c>
      <c r="D154" s="11">
        <v>127</v>
      </c>
      <c r="E154" s="11">
        <v>32</v>
      </c>
      <c r="F154" s="11">
        <v>16</v>
      </c>
      <c r="G154" s="11">
        <v>8</v>
      </c>
      <c r="H154" s="11">
        <v>127</v>
      </c>
      <c r="I154" s="11">
        <v>0</v>
      </c>
      <c r="J154" s="11">
        <v>0</v>
      </c>
      <c r="K154" s="11">
        <v>0</v>
      </c>
      <c r="L154" s="11">
        <v>0</v>
      </c>
      <c r="M154" s="12">
        <v>0</v>
      </c>
    </row>
    <row r="155" spans="1:13" x14ac:dyDescent="0.25">
      <c r="A155">
        <v>153</v>
      </c>
      <c r="B155" s="38" t="s">
        <v>874</v>
      </c>
      <c r="C155" s="42">
        <v>0</v>
      </c>
      <c r="D155" s="11">
        <v>126</v>
      </c>
      <c r="E155" s="11">
        <v>32</v>
      </c>
      <c r="F155" s="11">
        <v>17</v>
      </c>
      <c r="G155" s="11">
        <v>8</v>
      </c>
      <c r="H155" s="11">
        <v>126</v>
      </c>
      <c r="I155" s="11">
        <v>0</v>
      </c>
      <c r="J155" s="11">
        <v>0</v>
      </c>
      <c r="K155" s="11">
        <v>0</v>
      </c>
      <c r="L155" s="11">
        <v>0</v>
      </c>
      <c r="M155" s="12">
        <v>0</v>
      </c>
    </row>
    <row r="156" spans="1:13" x14ac:dyDescent="0.25">
      <c r="A156">
        <v>154</v>
      </c>
      <c r="B156" s="38" t="s">
        <v>875</v>
      </c>
      <c r="C156" s="42">
        <v>0</v>
      </c>
      <c r="D156" s="11">
        <v>127</v>
      </c>
      <c r="E156" s="11">
        <v>8</v>
      </c>
      <c r="F156" s="11">
        <v>20</v>
      </c>
      <c r="G156" s="11">
        <v>34</v>
      </c>
      <c r="H156" s="11">
        <v>65</v>
      </c>
      <c r="I156" s="11">
        <v>0</v>
      </c>
      <c r="J156" s="11">
        <v>0</v>
      </c>
      <c r="K156" s="11">
        <v>0</v>
      </c>
      <c r="L156" s="11">
        <v>0</v>
      </c>
      <c r="M156" s="12">
        <v>0</v>
      </c>
    </row>
    <row r="157" spans="1:13" x14ac:dyDescent="0.25">
      <c r="A157">
        <v>155</v>
      </c>
      <c r="B157" s="38" t="s">
        <v>876</v>
      </c>
      <c r="C157" s="42">
        <v>0</v>
      </c>
      <c r="D157" s="11">
        <v>64</v>
      </c>
      <c r="E157" s="11">
        <v>124</v>
      </c>
      <c r="F157" s="11">
        <v>2</v>
      </c>
      <c r="G157" s="11">
        <v>1</v>
      </c>
      <c r="H157" s="11">
        <v>127</v>
      </c>
      <c r="I157" s="11">
        <v>0</v>
      </c>
      <c r="J157" s="11">
        <v>0</v>
      </c>
      <c r="K157" s="11">
        <v>0</v>
      </c>
      <c r="L157" s="11">
        <v>0</v>
      </c>
      <c r="M157" s="12">
        <v>0</v>
      </c>
    </row>
    <row r="158" spans="1:13" x14ac:dyDescent="0.25">
      <c r="A158">
        <v>156</v>
      </c>
      <c r="B158" s="38" t="s">
        <v>877</v>
      </c>
      <c r="C158" s="42">
        <v>0</v>
      </c>
      <c r="D158" s="11">
        <v>127</v>
      </c>
      <c r="E158" s="11">
        <v>2</v>
      </c>
      <c r="F158" s="11">
        <v>12</v>
      </c>
      <c r="G158" s="11">
        <v>2</v>
      </c>
      <c r="H158" s="11">
        <v>127</v>
      </c>
      <c r="I158" s="11">
        <v>0</v>
      </c>
      <c r="J158" s="11">
        <v>0</v>
      </c>
      <c r="K158" s="11">
        <v>0</v>
      </c>
      <c r="L158" s="11">
        <v>0</v>
      </c>
      <c r="M158" s="12">
        <v>0</v>
      </c>
    </row>
    <row r="159" spans="1:13" x14ac:dyDescent="0.25">
      <c r="A159">
        <v>157</v>
      </c>
      <c r="B159" s="38" t="s">
        <v>878</v>
      </c>
      <c r="C159" s="42">
        <v>0</v>
      </c>
      <c r="D159" s="11">
        <v>127</v>
      </c>
      <c r="E159" s="11">
        <v>8</v>
      </c>
      <c r="F159" s="11">
        <v>8</v>
      </c>
      <c r="G159" s="11">
        <v>8</v>
      </c>
      <c r="H159" s="11">
        <v>127</v>
      </c>
      <c r="I159" s="11">
        <v>0</v>
      </c>
      <c r="J159" s="11">
        <v>0</v>
      </c>
      <c r="K159" s="11">
        <v>0</v>
      </c>
      <c r="L159" s="11">
        <v>0</v>
      </c>
      <c r="M159" s="12">
        <v>0</v>
      </c>
    </row>
    <row r="160" spans="1:13" x14ac:dyDescent="0.25">
      <c r="A160">
        <v>158</v>
      </c>
      <c r="B160" s="38" t="s">
        <v>879</v>
      </c>
      <c r="C160" s="42">
        <v>0</v>
      </c>
      <c r="D160" s="11">
        <v>62</v>
      </c>
      <c r="E160" s="11">
        <v>65</v>
      </c>
      <c r="F160" s="11">
        <v>65</v>
      </c>
      <c r="G160" s="11">
        <v>65</v>
      </c>
      <c r="H160" s="11">
        <v>62</v>
      </c>
      <c r="I160" s="11">
        <v>0</v>
      </c>
      <c r="J160" s="11">
        <v>0</v>
      </c>
      <c r="K160" s="11">
        <v>0</v>
      </c>
      <c r="L160" s="11">
        <v>0</v>
      </c>
      <c r="M160" s="12">
        <v>0</v>
      </c>
    </row>
    <row r="161" spans="1:13" x14ac:dyDescent="0.25">
      <c r="A161">
        <v>159</v>
      </c>
      <c r="B161" s="38" t="s">
        <v>880</v>
      </c>
      <c r="C161" s="42">
        <v>0</v>
      </c>
      <c r="D161" s="11">
        <v>127</v>
      </c>
      <c r="E161" s="11">
        <v>1</v>
      </c>
      <c r="F161" s="11">
        <v>1</v>
      </c>
      <c r="G161" s="11">
        <v>1</v>
      </c>
      <c r="H161" s="11">
        <v>127</v>
      </c>
      <c r="I161" s="11">
        <v>0</v>
      </c>
      <c r="J161" s="11">
        <v>0</v>
      </c>
      <c r="K161" s="11">
        <v>0</v>
      </c>
      <c r="L161" s="11">
        <v>0</v>
      </c>
      <c r="M161" s="12">
        <v>0</v>
      </c>
    </row>
    <row r="162" spans="1:13" x14ac:dyDescent="0.25">
      <c r="A162">
        <v>160</v>
      </c>
      <c r="B162" s="38" t="s">
        <v>881</v>
      </c>
      <c r="C162" s="42">
        <v>0</v>
      </c>
      <c r="D162" s="11">
        <v>127</v>
      </c>
      <c r="E162" s="11">
        <v>17</v>
      </c>
      <c r="F162" s="11">
        <v>17</v>
      </c>
      <c r="G162" s="11">
        <v>17</v>
      </c>
      <c r="H162" s="11">
        <v>14</v>
      </c>
      <c r="I162" s="11">
        <v>0</v>
      </c>
      <c r="J162" s="11">
        <v>0</v>
      </c>
      <c r="K162" s="11">
        <v>0</v>
      </c>
      <c r="L162" s="11">
        <v>0</v>
      </c>
      <c r="M162" s="12">
        <v>0</v>
      </c>
    </row>
    <row r="163" spans="1:13" x14ac:dyDescent="0.25">
      <c r="A163">
        <v>161</v>
      </c>
      <c r="B163" s="38" t="s">
        <v>882</v>
      </c>
      <c r="C163" s="42">
        <v>0</v>
      </c>
      <c r="D163" s="11">
        <v>62</v>
      </c>
      <c r="E163" s="11">
        <v>65</v>
      </c>
      <c r="F163" s="11">
        <v>65</v>
      </c>
      <c r="G163" s="11">
        <v>65</v>
      </c>
      <c r="H163" s="11">
        <v>34</v>
      </c>
      <c r="I163" s="11">
        <v>0</v>
      </c>
      <c r="J163" s="11">
        <v>0</v>
      </c>
      <c r="K163" s="11">
        <v>0</v>
      </c>
      <c r="L163" s="11">
        <v>0</v>
      </c>
      <c r="M163" s="12">
        <v>0</v>
      </c>
    </row>
    <row r="164" spans="1:13" x14ac:dyDescent="0.25">
      <c r="A164">
        <v>162</v>
      </c>
      <c r="B164" s="38" t="s">
        <v>883</v>
      </c>
      <c r="C164" s="42">
        <v>0</v>
      </c>
      <c r="D164" s="11">
        <v>1</v>
      </c>
      <c r="E164" s="11">
        <v>1</v>
      </c>
      <c r="F164" s="11">
        <v>127</v>
      </c>
      <c r="G164" s="11">
        <v>1</v>
      </c>
      <c r="H164" s="11">
        <v>1</v>
      </c>
      <c r="I164" s="11">
        <v>0</v>
      </c>
      <c r="J164" s="11">
        <v>0</v>
      </c>
      <c r="K164" s="11">
        <v>0</v>
      </c>
      <c r="L164" s="11">
        <v>0</v>
      </c>
      <c r="M164" s="12">
        <v>0</v>
      </c>
    </row>
    <row r="165" spans="1:13" x14ac:dyDescent="0.25">
      <c r="A165">
        <v>163</v>
      </c>
      <c r="B165" s="38" t="s">
        <v>884</v>
      </c>
      <c r="C165" s="42">
        <v>0</v>
      </c>
      <c r="D165" s="11">
        <v>39</v>
      </c>
      <c r="E165" s="11">
        <v>72</v>
      </c>
      <c r="F165" s="11">
        <v>72</v>
      </c>
      <c r="G165" s="11">
        <v>72</v>
      </c>
      <c r="H165" s="11">
        <v>63</v>
      </c>
      <c r="I165" s="11">
        <v>0</v>
      </c>
      <c r="J165" s="11">
        <v>0</v>
      </c>
      <c r="K165" s="11">
        <v>0</v>
      </c>
      <c r="L165" s="11">
        <v>0</v>
      </c>
      <c r="M165" s="12">
        <v>0</v>
      </c>
    </row>
    <row r="166" spans="1:13" x14ac:dyDescent="0.25">
      <c r="A166">
        <v>164</v>
      </c>
      <c r="B166" s="38" t="s">
        <v>885</v>
      </c>
      <c r="C166" s="42">
        <v>0</v>
      </c>
      <c r="D166" s="11">
        <v>28</v>
      </c>
      <c r="E166" s="11">
        <v>34</v>
      </c>
      <c r="F166" s="11">
        <v>127</v>
      </c>
      <c r="G166" s="11">
        <v>34</v>
      </c>
      <c r="H166" s="11">
        <v>28</v>
      </c>
      <c r="I166" s="11">
        <v>0</v>
      </c>
      <c r="J166" s="11">
        <v>0</v>
      </c>
      <c r="K166" s="11">
        <v>0</v>
      </c>
      <c r="L166" s="11">
        <v>0</v>
      </c>
      <c r="M166" s="12">
        <v>0</v>
      </c>
    </row>
    <row r="167" spans="1:13" x14ac:dyDescent="0.25">
      <c r="A167">
        <v>165</v>
      </c>
      <c r="B167" s="38" t="s">
        <v>886</v>
      </c>
      <c r="C167" s="42">
        <v>0</v>
      </c>
      <c r="D167" s="11">
        <v>99</v>
      </c>
      <c r="E167" s="11">
        <v>20</v>
      </c>
      <c r="F167" s="11">
        <v>8</v>
      </c>
      <c r="G167" s="11">
        <v>20</v>
      </c>
      <c r="H167" s="11">
        <v>99</v>
      </c>
      <c r="I167" s="11">
        <v>0</v>
      </c>
      <c r="J167" s="11">
        <v>0</v>
      </c>
      <c r="K167" s="11">
        <v>0</v>
      </c>
      <c r="L167" s="11">
        <v>0</v>
      </c>
      <c r="M167" s="12">
        <v>0</v>
      </c>
    </row>
    <row r="168" spans="1:13" x14ac:dyDescent="0.25">
      <c r="A168">
        <v>166</v>
      </c>
      <c r="B168" s="38" t="s">
        <v>887</v>
      </c>
      <c r="C168" s="42">
        <v>0</v>
      </c>
      <c r="D168" s="11">
        <v>127</v>
      </c>
      <c r="E168" s="11">
        <v>64</v>
      </c>
      <c r="F168" s="11">
        <v>64</v>
      </c>
      <c r="G168" s="11">
        <v>127</v>
      </c>
      <c r="H168" s="11">
        <v>192</v>
      </c>
      <c r="I168" s="11">
        <v>0</v>
      </c>
      <c r="J168" s="11">
        <v>0</v>
      </c>
      <c r="K168" s="11">
        <v>0</v>
      </c>
      <c r="L168" s="11">
        <v>0</v>
      </c>
      <c r="M168" s="12">
        <v>0</v>
      </c>
    </row>
    <row r="169" spans="1:13" x14ac:dyDescent="0.25">
      <c r="A169">
        <v>167</v>
      </c>
      <c r="B169" s="38" t="s">
        <v>888</v>
      </c>
      <c r="C169" s="42">
        <v>0</v>
      </c>
      <c r="D169" s="11">
        <v>15</v>
      </c>
      <c r="E169" s="11">
        <v>16</v>
      </c>
      <c r="F169" s="11">
        <v>16</v>
      </c>
      <c r="G169" s="11">
        <v>16</v>
      </c>
      <c r="H169" s="11">
        <v>127</v>
      </c>
      <c r="I169" s="11">
        <v>0</v>
      </c>
      <c r="J169" s="11">
        <v>0</v>
      </c>
      <c r="K169" s="11">
        <v>0</v>
      </c>
      <c r="L169" s="11">
        <v>0</v>
      </c>
      <c r="M169" s="12">
        <v>0</v>
      </c>
    </row>
    <row r="170" spans="1:13" x14ac:dyDescent="0.25">
      <c r="A170">
        <v>168</v>
      </c>
      <c r="B170" s="38" t="s">
        <v>889</v>
      </c>
      <c r="C170" s="42">
        <v>0</v>
      </c>
      <c r="D170" s="11">
        <v>127</v>
      </c>
      <c r="E170" s="11">
        <v>64</v>
      </c>
      <c r="F170" s="11">
        <v>126</v>
      </c>
      <c r="G170" s="11">
        <v>64</v>
      </c>
      <c r="H170" s="11">
        <v>127</v>
      </c>
      <c r="I170" s="11">
        <v>0</v>
      </c>
      <c r="J170" s="11">
        <v>0</v>
      </c>
      <c r="K170" s="11">
        <v>0</v>
      </c>
      <c r="L170" s="11">
        <v>0</v>
      </c>
      <c r="M170" s="12">
        <v>0</v>
      </c>
    </row>
    <row r="171" spans="1:13" x14ac:dyDescent="0.25">
      <c r="A171">
        <v>169</v>
      </c>
      <c r="B171" s="38" t="s">
        <v>890</v>
      </c>
      <c r="C171" s="42">
        <v>0</v>
      </c>
      <c r="D171" s="11">
        <v>127</v>
      </c>
      <c r="E171" s="11">
        <v>64</v>
      </c>
      <c r="F171" s="11">
        <v>126</v>
      </c>
      <c r="G171" s="11">
        <v>64</v>
      </c>
      <c r="H171" s="11">
        <v>255</v>
      </c>
      <c r="I171" s="11">
        <v>0</v>
      </c>
      <c r="J171" s="11">
        <v>0</v>
      </c>
      <c r="K171" s="11">
        <v>0</v>
      </c>
      <c r="L171" s="11">
        <v>0</v>
      </c>
      <c r="M171" s="12">
        <v>0</v>
      </c>
    </row>
    <row r="172" spans="1:13" x14ac:dyDescent="0.25">
      <c r="A172">
        <v>170</v>
      </c>
      <c r="B172" s="38" t="s">
        <v>891</v>
      </c>
      <c r="C172" s="42">
        <v>0</v>
      </c>
      <c r="D172" s="11">
        <v>1</v>
      </c>
      <c r="E172" s="11">
        <v>127</v>
      </c>
      <c r="F172" s="11">
        <v>68</v>
      </c>
      <c r="G172" s="11">
        <v>68</v>
      </c>
      <c r="H172" s="11">
        <v>56</v>
      </c>
      <c r="I172" s="11">
        <v>0</v>
      </c>
      <c r="J172" s="11">
        <v>0</v>
      </c>
      <c r="K172" s="11">
        <v>0</v>
      </c>
      <c r="L172" s="11">
        <v>0</v>
      </c>
      <c r="M172" s="12">
        <v>0</v>
      </c>
    </row>
    <row r="173" spans="1:13" x14ac:dyDescent="0.25">
      <c r="A173">
        <v>171</v>
      </c>
      <c r="B173" s="38" t="s">
        <v>892</v>
      </c>
      <c r="C173" s="42">
        <v>0</v>
      </c>
      <c r="D173" s="11">
        <v>127</v>
      </c>
      <c r="E173" s="11">
        <v>68</v>
      </c>
      <c r="F173" s="11">
        <v>56</v>
      </c>
      <c r="G173" s="11">
        <v>0</v>
      </c>
      <c r="H173" s="11">
        <v>127</v>
      </c>
      <c r="I173" s="11">
        <v>0</v>
      </c>
      <c r="J173" s="11">
        <v>0</v>
      </c>
      <c r="K173" s="11">
        <v>0</v>
      </c>
      <c r="L173" s="11">
        <v>0</v>
      </c>
      <c r="M173" s="12">
        <v>0</v>
      </c>
    </row>
    <row r="174" spans="1:13" x14ac:dyDescent="0.25">
      <c r="A174">
        <v>172</v>
      </c>
      <c r="B174" s="38" t="s">
        <v>893</v>
      </c>
      <c r="C174" s="42">
        <v>0</v>
      </c>
      <c r="D174" s="11">
        <v>127</v>
      </c>
      <c r="E174" s="11">
        <v>68</v>
      </c>
      <c r="F174" s="11">
        <v>68</v>
      </c>
      <c r="G174" s="11">
        <v>68</v>
      </c>
      <c r="H174" s="11">
        <v>56</v>
      </c>
      <c r="I174" s="11">
        <v>0</v>
      </c>
      <c r="J174" s="11">
        <v>0</v>
      </c>
      <c r="K174" s="11">
        <v>0</v>
      </c>
      <c r="L174" s="11">
        <v>0</v>
      </c>
      <c r="M174" s="12">
        <v>0</v>
      </c>
    </row>
    <row r="175" spans="1:13" x14ac:dyDescent="0.25">
      <c r="A175">
        <v>173</v>
      </c>
      <c r="B175" s="38" t="s">
        <v>894</v>
      </c>
      <c r="C175" s="42">
        <v>0</v>
      </c>
      <c r="D175" s="11">
        <v>34</v>
      </c>
      <c r="E175" s="11">
        <v>65</v>
      </c>
      <c r="F175" s="11">
        <v>73</v>
      </c>
      <c r="G175" s="11">
        <v>73</v>
      </c>
      <c r="H175" s="11">
        <v>62</v>
      </c>
      <c r="I175" s="11">
        <v>0</v>
      </c>
      <c r="J175" s="11">
        <v>0</v>
      </c>
      <c r="K175" s="11">
        <v>0</v>
      </c>
      <c r="L175" s="11">
        <v>0</v>
      </c>
      <c r="M175" s="12">
        <v>0</v>
      </c>
    </row>
    <row r="176" spans="1:13" x14ac:dyDescent="0.25">
      <c r="A176">
        <v>174</v>
      </c>
      <c r="B176" s="38" t="s">
        <v>895</v>
      </c>
      <c r="C176" s="42">
        <v>0</v>
      </c>
      <c r="D176" s="11">
        <v>127</v>
      </c>
      <c r="E176" s="11">
        <v>8</v>
      </c>
      <c r="F176" s="11">
        <v>62</v>
      </c>
      <c r="G176" s="11">
        <v>65</v>
      </c>
      <c r="H176" s="11">
        <v>62</v>
      </c>
      <c r="I176" s="11">
        <v>0</v>
      </c>
      <c r="J176" s="11">
        <v>0</v>
      </c>
      <c r="K176" s="11">
        <v>0</v>
      </c>
      <c r="L176" s="11">
        <v>0</v>
      </c>
      <c r="M176" s="12">
        <v>0</v>
      </c>
    </row>
    <row r="177" spans="1:13" x14ac:dyDescent="0.25">
      <c r="A177">
        <v>175</v>
      </c>
      <c r="B177" s="38" t="s">
        <v>896</v>
      </c>
      <c r="C177" s="42">
        <v>0</v>
      </c>
      <c r="D177" s="11">
        <v>70</v>
      </c>
      <c r="E177" s="11">
        <v>41</v>
      </c>
      <c r="F177" s="11">
        <v>25</v>
      </c>
      <c r="G177" s="11">
        <v>9</v>
      </c>
      <c r="H177" s="11">
        <v>127</v>
      </c>
      <c r="I177" s="11">
        <v>0</v>
      </c>
      <c r="J177" s="11">
        <v>0</v>
      </c>
      <c r="K177" s="11">
        <v>0</v>
      </c>
      <c r="L177" s="11">
        <v>0</v>
      </c>
      <c r="M177" s="12">
        <v>0</v>
      </c>
    </row>
    <row r="178" spans="1:13" x14ac:dyDescent="0.25">
      <c r="A178">
        <v>176</v>
      </c>
      <c r="B178" s="38" t="s">
        <v>897</v>
      </c>
      <c r="C178" s="42">
        <v>0</v>
      </c>
      <c r="D178" s="11">
        <v>32</v>
      </c>
      <c r="E178" s="11">
        <v>84</v>
      </c>
      <c r="F178" s="11">
        <v>84</v>
      </c>
      <c r="G178" s="11">
        <v>120</v>
      </c>
      <c r="H178" s="11">
        <v>64</v>
      </c>
      <c r="I178" s="11">
        <v>0</v>
      </c>
      <c r="J178" s="11">
        <v>0</v>
      </c>
      <c r="K178" s="11">
        <v>0</v>
      </c>
      <c r="L178" s="11">
        <v>0</v>
      </c>
      <c r="M178" s="12">
        <v>0</v>
      </c>
    </row>
    <row r="179" spans="1:13" x14ac:dyDescent="0.25">
      <c r="A179">
        <v>177</v>
      </c>
      <c r="B179" s="38" t="s">
        <v>898</v>
      </c>
      <c r="C179" s="42">
        <v>0</v>
      </c>
      <c r="D179" s="11">
        <v>56</v>
      </c>
      <c r="E179" s="11">
        <v>84</v>
      </c>
      <c r="F179" s="11">
        <v>84</v>
      </c>
      <c r="G179" s="11">
        <v>36</v>
      </c>
      <c r="H179" s="11">
        <v>0</v>
      </c>
      <c r="I179" s="11">
        <v>0</v>
      </c>
      <c r="J179" s="11">
        <v>0</v>
      </c>
      <c r="K179" s="11">
        <v>0</v>
      </c>
      <c r="L179" s="11">
        <v>0</v>
      </c>
      <c r="M179" s="12">
        <v>0</v>
      </c>
    </row>
    <row r="180" spans="1:13" x14ac:dyDescent="0.25">
      <c r="A180">
        <v>178</v>
      </c>
      <c r="B180" s="38" t="s">
        <v>899</v>
      </c>
      <c r="C180" s="42">
        <v>0</v>
      </c>
      <c r="D180" s="11">
        <v>124</v>
      </c>
      <c r="E180" s="11">
        <v>84</v>
      </c>
      <c r="F180" s="11">
        <v>84</v>
      </c>
      <c r="G180" s="11">
        <v>40</v>
      </c>
      <c r="H180" s="11">
        <v>0</v>
      </c>
      <c r="I180" s="11">
        <v>0</v>
      </c>
      <c r="J180" s="11">
        <v>0</v>
      </c>
      <c r="K180" s="11">
        <v>0</v>
      </c>
      <c r="L180" s="11">
        <v>0</v>
      </c>
      <c r="M180" s="12">
        <v>0</v>
      </c>
    </row>
    <row r="181" spans="1:13" x14ac:dyDescent="0.25">
      <c r="A181">
        <v>179</v>
      </c>
      <c r="B181" s="38" t="s">
        <v>900</v>
      </c>
      <c r="C181" s="42">
        <v>0</v>
      </c>
      <c r="D181" s="11">
        <v>124</v>
      </c>
      <c r="E181" s="11">
        <v>4</v>
      </c>
      <c r="F181" s="11">
        <v>4</v>
      </c>
      <c r="G181" s="11">
        <v>4</v>
      </c>
      <c r="H181" s="11">
        <v>0</v>
      </c>
      <c r="I181" s="11">
        <v>0</v>
      </c>
      <c r="J181" s="11">
        <v>0</v>
      </c>
      <c r="K181" s="11">
        <v>0</v>
      </c>
      <c r="L181" s="11">
        <v>0</v>
      </c>
      <c r="M181" s="12">
        <v>0</v>
      </c>
    </row>
    <row r="182" spans="1:13" x14ac:dyDescent="0.25">
      <c r="A182">
        <v>180</v>
      </c>
      <c r="B182" s="38" t="s">
        <v>901</v>
      </c>
      <c r="C182" s="42">
        <v>0</v>
      </c>
      <c r="D182" s="11">
        <v>192</v>
      </c>
      <c r="E182" s="11">
        <v>124</v>
      </c>
      <c r="F182" s="11">
        <v>68</v>
      </c>
      <c r="G182" s="11">
        <v>124</v>
      </c>
      <c r="H182" s="11">
        <v>192</v>
      </c>
      <c r="I182" s="11">
        <v>0</v>
      </c>
      <c r="J182" s="11">
        <v>0</v>
      </c>
      <c r="K182" s="11">
        <v>0</v>
      </c>
      <c r="L182" s="11">
        <v>0</v>
      </c>
      <c r="M182" s="12">
        <v>0</v>
      </c>
    </row>
    <row r="183" spans="1:13" x14ac:dyDescent="0.25">
      <c r="A183">
        <v>181</v>
      </c>
      <c r="B183" s="38" t="s">
        <v>902</v>
      </c>
      <c r="C183" s="42">
        <v>0</v>
      </c>
      <c r="D183" s="11">
        <v>56</v>
      </c>
      <c r="E183" s="11">
        <v>84</v>
      </c>
      <c r="F183" s="11">
        <v>84</v>
      </c>
      <c r="G183" s="11">
        <v>84</v>
      </c>
      <c r="H183" s="11">
        <v>24</v>
      </c>
      <c r="I183" s="11">
        <v>0</v>
      </c>
      <c r="J183" s="11">
        <v>0</v>
      </c>
      <c r="K183" s="11">
        <v>0</v>
      </c>
      <c r="L183" s="11">
        <v>0</v>
      </c>
      <c r="M183" s="12">
        <v>0</v>
      </c>
    </row>
    <row r="184" spans="1:13" x14ac:dyDescent="0.25">
      <c r="A184">
        <v>182</v>
      </c>
      <c r="B184" s="38" t="s">
        <v>903</v>
      </c>
      <c r="C184" s="42">
        <v>0</v>
      </c>
      <c r="D184" s="11">
        <v>108</v>
      </c>
      <c r="E184" s="11">
        <v>16</v>
      </c>
      <c r="F184" s="11">
        <v>124</v>
      </c>
      <c r="G184" s="11">
        <v>16</v>
      </c>
      <c r="H184" s="11">
        <v>108</v>
      </c>
      <c r="I184" s="11">
        <v>0</v>
      </c>
      <c r="J184" s="11">
        <v>0</v>
      </c>
      <c r="K184" s="11">
        <v>0</v>
      </c>
      <c r="L184" s="11">
        <v>0</v>
      </c>
      <c r="M184" s="12">
        <v>0</v>
      </c>
    </row>
    <row r="185" spans="1:13" x14ac:dyDescent="0.25">
      <c r="A185">
        <v>183</v>
      </c>
      <c r="B185" s="38" t="s">
        <v>904</v>
      </c>
      <c r="C185" s="42">
        <v>0</v>
      </c>
      <c r="D185" s="11">
        <v>40</v>
      </c>
      <c r="E185" s="11">
        <v>68</v>
      </c>
      <c r="F185" s="11">
        <v>84</v>
      </c>
      <c r="G185" s="11">
        <v>84</v>
      </c>
      <c r="H185" s="11">
        <v>40</v>
      </c>
      <c r="I185" s="11">
        <v>0</v>
      </c>
      <c r="J185" s="11">
        <v>0</v>
      </c>
      <c r="K185" s="11">
        <v>0</v>
      </c>
      <c r="L185" s="11">
        <v>0</v>
      </c>
      <c r="M185" s="12">
        <v>0</v>
      </c>
    </row>
    <row r="186" spans="1:13" x14ac:dyDescent="0.25">
      <c r="A186">
        <v>184</v>
      </c>
      <c r="B186" s="38" t="s">
        <v>905</v>
      </c>
      <c r="C186" s="42">
        <v>0</v>
      </c>
      <c r="D186" s="11">
        <v>124</v>
      </c>
      <c r="E186" s="11">
        <v>32</v>
      </c>
      <c r="F186" s="11">
        <v>16</v>
      </c>
      <c r="G186" s="11">
        <v>8</v>
      </c>
      <c r="H186" s="11">
        <v>124</v>
      </c>
      <c r="I186" s="11">
        <v>0</v>
      </c>
      <c r="J186" s="11">
        <v>0</v>
      </c>
      <c r="K186" s="11">
        <v>0</v>
      </c>
      <c r="L186" s="11">
        <v>0</v>
      </c>
      <c r="M186" s="12">
        <v>0</v>
      </c>
    </row>
    <row r="187" spans="1:13" x14ac:dyDescent="0.25">
      <c r="A187">
        <v>185</v>
      </c>
      <c r="B187" s="38" t="s">
        <v>906</v>
      </c>
      <c r="C187" s="42">
        <v>0</v>
      </c>
      <c r="D187" s="11">
        <v>124</v>
      </c>
      <c r="E187" s="11">
        <v>32</v>
      </c>
      <c r="F187" s="11">
        <v>18</v>
      </c>
      <c r="G187" s="11">
        <v>8</v>
      </c>
      <c r="H187" s="11">
        <v>124</v>
      </c>
      <c r="I187" s="11">
        <v>0</v>
      </c>
      <c r="J187" s="11">
        <v>0</v>
      </c>
      <c r="K187" s="11">
        <v>0</v>
      </c>
      <c r="L187" s="11">
        <v>0</v>
      </c>
      <c r="M187" s="12">
        <v>0</v>
      </c>
    </row>
    <row r="188" spans="1:13" x14ac:dyDescent="0.25">
      <c r="A188">
        <v>186</v>
      </c>
      <c r="B188" s="38" t="s">
        <v>907</v>
      </c>
      <c r="C188" s="42">
        <v>0</v>
      </c>
      <c r="D188" s="11">
        <v>124</v>
      </c>
      <c r="E188" s="11">
        <v>16</v>
      </c>
      <c r="F188" s="11">
        <v>40</v>
      </c>
      <c r="G188" s="11">
        <v>68</v>
      </c>
      <c r="H188" s="11">
        <v>0</v>
      </c>
      <c r="I188" s="11">
        <v>0</v>
      </c>
      <c r="J188" s="11">
        <v>0</v>
      </c>
      <c r="K188" s="11">
        <v>0</v>
      </c>
      <c r="L188" s="11">
        <v>0</v>
      </c>
      <c r="M188" s="12">
        <v>0</v>
      </c>
    </row>
    <row r="189" spans="1:13" x14ac:dyDescent="0.25">
      <c r="A189">
        <v>187</v>
      </c>
      <c r="B189" s="38" t="s">
        <v>908</v>
      </c>
      <c r="C189" s="42">
        <v>0</v>
      </c>
      <c r="D189" s="11">
        <v>64</v>
      </c>
      <c r="E189" s="11">
        <v>32</v>
      </c>
      <c r="F189" s="11">
        <v>16</v>
      </c>
      <c r="G189" s="11">
        <v>8</v>
      </c>
      <c r="H189" s="11">
        <v>124</v>
      </c>
      <c r="I189" s="11">
        <v>0</v>
      </c>
      <c r="J189" s="11">
        <v>0</v>
      </c>
      <c r="K189" s="11">
        <v>0</v>
      </c>
      <c r="L189" s="11">
        <v>0</v>
      </c>
      <c r="M189" s="12">
        <v>0</v>
      </c>
    </row>
    <row r="190" spans="1:13" x14ac:dyDescent="0.25">
      <c r="A190">
        <v>188</v>
      </c>
      <c r="B190" s="38" t="s">
        <v>909</v>
      </c>
      <c r="C190" s="42">
        <v>0</v>
      </c>
      <c r="D190" s="11">
        <v>124</v>
      </c>
      <c r="E190" s="11">
        <v>8</v>
      </c>
      <c r="F190" s="11">
        <v>48</v>
      </c>
      <c r="G190" s="11">
        <v>8</v>
      </c>
      <c r="H190" s="11">
        <v>124</v>
      </c>
      <c r="I190" s="11">
        <v>0</v>
      </c>
      <c r="J190" s="11">
        <v>0</v>
      </c>
      <c r="K190" s="11">
        <v>0</v>
      </c>
      <c r="L190" s="11">
        <v>0</v>
      </c>
      <c r="M190" s="12">
        <v>0</v>
      </c>
    </row>
    <row r="191" spans="1:13" x14ac:dyDescent="0.25">
      <c r="A191">
        <v>189</v>
      </c>
      <c r="B191" s="38" t="s">
        <v>910</v>
      </c>
      <c r="C191" s="42">
        <v>0</v>
      </c>
      <c r="D191" s="11">
        <v>124</v>
      </c>
      <c r="E191" s="11">
        <v>16</v>
      </c>
      <c r="F191" s="11">
        <v>16</v>
      </c>
      <c r="G191" s="11">
        <v>16</v>
      </c>
      <c r="H191" s="11">
        <v>124</v>
      </c>
      <c r="I191" s="11">
        <v>0</v>
      </c>
      <c r="J191" s="11">
        <v>0</v>
      </c>
      <c r="K191" s="11">
        <v>0</v>
      </c>
      <c r="L191" s="11">
        <v>0</v>
      </c>
      <c r="M191" s="12">
        <v>0</v>
      </c>
    </row>
    <row r="192" spans="1:13" x14ac:dyDescent="0.25">
      <c r="A192">
        <v>190</v>
      </c>
      <c r="B192" s="38" t="s">
        <v>911</v>
      </c>
      <c r="C192" s="42">
        <v>0</v>
      </c>
      <c r="D192" s="11">
        <v>56</v>
      </c>
      <c r="E192" s="11">
        <v>68</v>
      </c>
      <c r="F192" s="11">
        <v>68</v>
      </c>
      <c r="G192" s="11">
        <v>68</v>
      </c>
      <c r="H192" s="11">
        <v>56</v>
      </c>
      <c r="I192" s="11">
        <v>0</v>
      </c>
      <c r="J192" s="11">
        <v>0</v>
      </c>
      <c r="K192" s="11">
        <v>0</v>
      </c>
      <c r="L192" s="11">
        <v>0</v>
      </c>
      <c r="M192" s="12">
        <v>0</v>
      </c>
    </row>
    <row r="193" spans="1:13" x14ac:dyDescent="0.25">
      <c r="A193">
        <v>191</v>
      </c>
      <c r="B193" s="38" t="s">
        <v>912</v>
      </c>
      <c r="C193" s="42">
        <v>0</v>
      </c>
      <c r="D193" s="11">
        <v>124</v>
      </c>
      <c r="E193" s="11">
        <v>4</v>
      </c>
      <c r="F193" s="11">
        <v>4</v>
      </c>
      <c r="G193" s="11">
        <v>4</v>
      </c>
      <c r="H193" s="11">
        <v>124</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57"/>
  <sheetViews>
    <sheetView workbookViewId="0">
      <selection activeCell="O189" sqref="O189:O252"/>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c r="D2" s="11"/>
      <c r="E2" s="11"/>
      <c r="F2" s="11"/>
      <c r="G2" s="11"/>
      <c r="H2" s="11"/>
      <c r="I2" s="11"/>
      <c r="J2" s="11"/>
      <c r="K2" s="11"/>
      <c r="L2" s="11"/>
      <c r="M2" s="12"/>
    </row>
    <row r="3" spans="1:13" x14ac:dyDescent="0.25">
      <c r="A3">
        <v>1</v>
      </c>
      <c r="B3" s="38"/>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913</v>
      </c>
      <c r="C61" s="42">
        <v>0</v>
      </c>
      <c r="D61" s="11">
        <v>255</v>
      </c>
      <c r="E61" s="11">
        <v>255</v>
      </c>
      <c r="F61" s="11">
        <v>12</v>
      </c>
      <c r="G61" s="11">
        <v>12</v>
      </c>
      <c r="H61" s="11">
        <v>12</v>
      </c>
      <c r="I61" s="11">
        <v>14</v>
      </c>
      <c r="J61" s="11">
        <v>7</v>
      </c>
      <c r="K61" s="11">
        <v>3</v>
      </c>
      <c r="L61" s="11">
        <v>0</v>
      </c>
      <c r="M61" s="12">
        <v>0</v>
      </c>
    </row>
    <row r="62" spans="1:13" x14ac:dyDescent="0.25">
      <c r="A62">
        <v>60</v>
      </c>
      <c r="B62" s="38" t="s">
        <v>914</v>
      </c>
      <c r="C62" s="42">
        <v>0</v>
      </c>
      <c r="D62" s="11">
        <v>63</v>
      </c>
      <c r="E62" s="11">
        <v>127</v>
      </c>
      <c r="F62" s="11">
        <v>224</v>
      </c>
      <c r="G62" s="11">
        <v>192</v>
      </c>
      <c r="H62" s="11">
        <v>192</v>
      </c>
      <c r="I62" s="11">
        <v>224</v>
      </c>
      <c r="J62" s="11">
        <v>112</v>
      </c>
      <c r="K62" s="11">
        <v>48</v>
      </c>
      <c r="L62" s="11">
        <v>0</v>
      </c>
      <c r="M62" s="12">
        <v>0</v>
      </c>
    </row>
    <row r="63" spans="1:13" x14ac:dyDescent="0.25">
      <c r="A63">
        <v>61</v>
      </c>
      <c r="B63" s="38" t="s">
        <v>915</v>
      </c>
      <c r="C63" s="42">
        <v>0</v>
      </c>
      <c r="D63" s="11">
        <v>0</v>
      </c>
      <c r="E63" s="11">
        <v>0</v>
      </c>
      <c r="F63" s="11">
        <v>0</v>
      </c>
      <c r="G63" s="11">
        <v>255</v>
      </c>
      <c r="H63" s="11">
        <v>255</v>
      </c>
      <c r="I63" s="11">
        <v>0</v>
      </c>
      <c r="J63" s="11">
        <v>0</v>
      </c>
      <c r="K63" s="11">
        <v>0</v>
      </c>
      <c r="L63" s="11">
        <v>0</v>
      </c>
      <c r="M63" s="12">
        <v>0</v>
      </c>
    </row>
    <row r="64" spans="1:13" x14ac:dyDescent="0.25">
      <c r="A64">
        <v>62</v>
      </c>
      <c r="B64" s="38" t="s">
        <v>916</v>
      </c>
      <c r="C64" s="42">
        <v>0</v>
      </c>
      <c r="D64" s="11">
        <v>35</v>
      </c>
      <c r="E64" s="11">
        <v>103</v>
      </c>
      <c r="F64" s="11">
        <v>198</v>
      </c>
      <c r="G64" s="11">
        <v>198</v>
      </c>
      <c r="H64" s="11">
        <v>198</v>
      </c>
      <c r="I64" s="11">
        <v>198</v>
      </c>
      <c r="J64" s="11">
        <v>127</v>
      </c>
      <c r="K64" s="11">
        <v>63</v>
      </c>
      <c r="L64" s="11">
        <v>0</v>
      </c>
      <c r="M64" s="12">
        <v>0</v>
      </c>
    </row>
    <row r="65" spans="1:13" x14ac:dyDescent="0.25">
      <c r="A65">
        <v>63</v>
      </c>
      <c r="B65" s="38" t="s">
        <v>917</v>
      </c>
      <c r="C65" s="42">
        <v>0</v>
      </c>
      <c r="D65" s="11">
        <v>15</v>
      </c>
      <c r="E65" s="11">
        <v>31</v>
      </c>
      <c r="F65" s="11">
        <v>56</v>
      </c>
      <c r="G65" s="11">
        <v>48</v>
      </c>
      <c r="H65" s="11">
        <v>255</v>
      </c>
      <c r="I65" s="11">
        <v>255</v>
      </c>
      <c r="J65" s="11">
        <v>48</v>
      </c>
      <c r="K65" s="11">
        <v>56</v>
      </c>
      <c r="L65" s="11">
        <v>31</v>
      </c>
      <c r="M65" s="12">
        <v>15</v>
      </c>
    </row>
    <row r="66" spans="1:13" x14ac:dyDescent="0.25">
      <c r="A66">
        <v>64</v>
      </c>
      <c r="B66" s="38" t="s">
        <v>918</v>
      </c>
      <c r="C66" s="42">
        <v>0</v>
      </c>
      <c r="D66" s="11">
        <v>240</v>
      </c>
      <c r="E66" s="11">
        <v>248</v>
      </c>
      <c r="F66" s="11">
        <v>13</v>
      </c>
      <c r="G66" s="11">
        <v>7</v>
      </c>
      <c r="H66" s="11">
        <v>7</v>
      </c>
      <c r="I66" s="11">
        <v>13</v>
      </c>
      <c r="J66" s="11">
        <v>248</v>
      </c>
      <c r="K66" s="11">
        <v>240</v>
      </c>
      <c r="L66" s="11">
        <v>0</v>
      </c>
      <c r="M66" s="12">
        <v>0</v>
      </c>
    </row>
    <row r="67" spans="1:13" x14ac:dyDescent="0.25">
      <c r="A67">
        <v>65</v>
      </c>
      <c r="B67" s="38" t="s">
        <v>919</v>
      </c>
      <c r="C67" s="42">
        <v>0</v>
      </c>
      <c r="D67" s="11">
        <v>127</v>
      </c>
      <c r="E67" s="11">
        <v>127</v>
      </c>
      <c r="F67" s="11">
        <v>96</v>
      </c>
      <c r="G67" s="11">
        <v>96</v>
      </c>
      <c r="H67" s="11">
        <v>96</v>
      </c>
      <c r="I67" s="11">
        <v>255</v>
      </c>
      <c r="J67" s="11">
        <v>255</v>
      </c>
      <c r="K67" s="11">
        <v>192</v>
      </c>
      <c r="L67" s="11">
        <v>0</v>
      </c>
      <c r="M67" s="12">
        <v>0</v>
      </c>
    </row>
    <row r="68" spans="1:13" x14ac:dyDescent="0.25">
      <c r="A68">
        <v>66</v>
      </c>
      <c r="B68" s="38" t="s">
        <v>920</v>
      </c>
      <c r="C68" s="42">
        <v>0</v>
      </c>
      <c r="D68" s="11">
        <v>3</v>
      </c>
      <c r="E68" s="11">
        <v>7</v>
      </c>
      <c r="F68" s="11">
        <v>14</v>
      </c>
      <c r="G68" s="11">
        <v>12</v>
      </c>
      <c r="H68" s="11">
        <v>12</v>
      </c>
      <c r="I68" s="11">
        <v>12</v>
      </c>
      <c r="J68" s="11">
        <v>255</v>
      </c>
      <c r="K68" s="11">
        <v>255</v>
      </c>
      <c r="L68" s="11">
        <v>0</v>
      </c>
      <c r="M68" s="12">
        <v>0</v>
      </c>
    </row>
    <row r="69" spans="1:13" x14ac:dyDescent="0.25">
      <c r="A69">
        <v>67</v>
      </c>
      <c r="B69" s="38" t="s">
        <v>921</v>
      </c>
      <c r="C69" s="42">
        <v>0</v>
      </c>
      <c r="D69" s="11">
        <v>255</v>
      </c>
      <c r="E69" s="11">
        <v>255</v>
      </c>
      <c r="F69" s="11">
        <v>192</v>
      </c>
      <c r="G69" s="11">
        <v>192</v>
      </c>
      <c r="H69" s="11">
        <v>255</v>
      </c>
      <c r="I69" s="11">
        <v>255</v>
      </c>
      <c r="J69" s="11">
        <v>192</v>
      </c>
      <c r="K69" s="11">
        <v>192</v>
      </c>
      <c r="L69" s="11">
        <v>255</v>
      </c>
      <c r="M69" s="12">
        <v>255</v>
      </c>
    </row>
    <row r="70" spans="1:13" x14ac:dyDescent="0.25">
      <c r="A70">
        <v>68</v>
      </c>
      <c r="B70" s="38" t="s">
        <v>922</v>
      </c>
      <c r="C70" s="42">
        <v>0</v>
      </c>
      <c r="D70" s="11">
        <v>127</v>
      </c>
      <c r="E70" s="11">
        <v>127</v>
      </c>
      <c r="F70" s="11">
        <v>96</v>
      </c>
      <c r="G70" s="11">
        <v>96</v>
      </c>
      <c r="H70" s="11">
        <v>127</v>
      </c>
      <c r="I70" s="11">
        <v>127</v>
      </c>
      <c r="J70" s="11">
        <v>96</v>
      </c>
      <c r="K70" s="11">
        <v>224</v>
      </c>
      <c r="L70" s="11">
        <v>255</v>
      </c>
      <c r="M70" s="12">
        <v>255</v>
      </c>
    </row>
    <row r="71" spans="1:13" x14ac:dyDescent="0.25">
      <c r="A71">
        <v>69</v>
      </c>
      <c r="B71" s="38" t="s">
        <v>923</v>
      </c>
      <c r="C71" s="42">
        <v>0</v>
      </c>
      <c r="D71" s="11">
        <v>0</v>
      </c>
      <c r="E71" s="11">
        <v>255</v>
      </c>
      <c r="F71" s="11">
        <v>255</v>
      </c>
      <c r="G71" s="11">
        <v>195</v>
      </c>
      <c r="H71" s="11">
        <v>195</v>
      </c>
      <c r="I71" s="11">
        <v>231</v>
      </c>
      <c r="J71" s="11">
        <v>126</v>
      </c>
      <c r="K71" s="11">
        <v>60</v>
      </c>
      <c r="L71" s="11">
        <v>0</v>
      </c>
      <c r="M71" s="12">
        <v>0</v>
      </c>
    </row>
    <row r="72" spans="1:13" x14ac:dyDescent="0.25">
      <c r="A72">
        <v>70</v>
      </c>
      <c r="B72" s="38" t="s">
        <v>924</v>
      </c>
      <c r="C72" s="42">
        <v>0</v>
      </c>
      <c r="D72" s="11">
        <v>255</v>
      </c>
      <c r="E72" s="11">
        <v>255</v>
      </c>
      <c r="F72" s="11">
        <v>195</v>
      </c>
      <c r="G72" s="11">
        <v>195</v>
      </c>
      <c r="H72" s="11">
        <v>231</v>
      </c>
      <c r="I72" s="11">
        <v>126</v>
      </c>
      <c r="J72" s="11">
        <v>60</v>
      </c>
      <c r="K72" s="11">
        <v>0</v>
      </c>
      <c r="L72" s="11">
        <v>255</v>
      </c>
      <c r="M72" s="12">
        <v>255</v>
      </c>
    </row>
    <row r="73" spans="1:13" x14ac:dyDescent="0.25">
      <c r="A73">
        <v>71</v>
      </c>
      <c r="B73" s="38" t="s">
        <v>925</v>
      </c>
      <c r="C73" s="42">
        <v>0</v>
      </c>
      <c r="D73" s="11">
        <v>255</v>
      </c>
      <c r="E73" s="11">
        <v>255</v>
      </c>
      <c r="F73" s="11">
        <v>195</v>
      </c>
      <c r="G73" s="11">
        <v>195</v>
      </c>
      <c r="H73" s="11">
        <v>195</v>
      </c>
      <c r="I73" s="11">
        <v>231</v>
      </c>
      <c r="J73" s="11">
        <v>126</v>
      </c>
      <c r="K73" s="11">
        <v>60</v>
      </c>
      <c r="L73" s="11">
        <v>0</v>
      </c>
      <c r="M73" s="12">
        <v>0</v>
      </c>
    </row>
    <row r="74" spans="1:13" x14ac:dyDescent="0.25">
      <c r="A74">
        <v>72</v>
      </c>
      <c r="B74" s="38" t="s">
        <v>926</v>
      </c>
      <c r="C74" s="42">
        <v>0</v>
      </c>
      <c r="D74" s="11">
        <v>48</v>
      </c>
      <c r="E74" s="11">
        <v>112</v>
      </c>
      <c r="F74" s="11">
        <v>224</v>
      </c>
      <c r="G74" s="11">
        <v>192</v>
      </c>
      <c r="H74" s="11">
        <v>198</v>
      </c>
      <c r="I74" s="11">
        <v>230</v>
      </c>
      <c r="J74" s="11">
        <v>127</v>
      </c>
      <c r="K74" s="11">
        <v>63</v>
      </c>
      <c r="L74" s="11">
        <v>0</v>
      </c>
      <c r="M74" s="12">
        <v>0</v>
      </c>
    </row>
    <row r="75" spans="1:13" x14ac:dyDescent="0.25">
      <c r="A75">
        <v>73</v>
      </c>
      <c r="B75" s="38" t="s">
        <v>927</v>
      </c>
      <c r="C75" s="42">
        <v>0</v>
      </c>
      <c r="D75" s="11">
        <v>255</v>
      </c>
      <c r="E75" s="11">
        <v>255</v>
      </c>
      <c r="F75" s="11">
        <v>6</v>
      </c>
      <c r="G75" s="11">
        <v>63</v>
      </c>
      <c r="H75" s="11">
        <v>127</v>
      </c>
      <c r="I75" s="11">
        <v>224</v>
      </c>
      <c r="J75" s="11">
        <v>192</v>
      </c>
      <c r="K75" s="11">
        <v>224</v>
      </c>
      <c r="L75" s="11">
        <v>127</v>
      </c>
      <c r="M75" s="12">
        <v>63</v>
      </c>
    </row>
    <row r="76" spans="1:13" x14ac:dyDescent="0.25">
      <c r="A76">
        <v>74</v>
      </c>
      <c r="B76" s="38" t="s">
        <v>928</v>
      </c>
      <c r="C76" s="42">
        <v>0</v>
      </c>
      <c r="D76" s="11">
        <v>131</v>
      </c>
      <c r="E76" s="11">
        <v>199</v>
      </c>
      <c r="F76" s="11">
        <v>110</v>
      </c>
      <c r="G76" s="11">
        <v>60</v>
      </c>
      <c r="H76" s="11">
        <v>28</v>
      </c>
      <c r="I76" s="11">
        <v>12</v>
      </c>
      <c r="J76" s="11">
        <v>255</v>
      </c>
      <c r="K76" s="11">
        <v>255</v>
      </c>
      <c r="L76" s="11">
        <v>0</v>
      </c>
      <c r="M76" s="12">
        <v>0</v>
      </c>
    </row>
    <row r="77" spans="1:13" x14ac:dyDescent="0.25">
      <c r="A77">
        <v>75</v>
      </c>
      <c r="B77" s="38" t="s">
        <v>929</v>
      </c>
      <c r="C77" s="42">
        <v>0</v>
      </c>
      <c r="D77" s="11">
        <v>255</v>
      </c>
      <c r="E77" s="11">
        <v>255</v>
      </c>
      <c r="F77" s="11">
        <v>6</v>
      </c>
      <c r="G77" s="11">
        <v>6</v>
      </c>
      <c r="H77" s="11">
        <v>6</v>
      </c>
      <c r="I77" s="11">
        <v>6</v>
      </c>
      <c r="J77" s="11">
        <v>255</v>
      </c>
      <c r="K77" s="11">
        <v>255</v>
      </c>
      <c r="L77" s="11">
        <v>0</v>
      </c>
      <c r="M77" s="12">
        <v>0</v>
      </c>
    </row>
    <row r="78" spans="1:13" x14ac:dyDescent="0.25">
      <c r="A78">
        <v>76</v>
      </c>
      <c r="B78" s="38" t="s">
        <v>930</v>
      </c>
      <c r="C78" s="42">
        <v>0</v>
      </c>
      <c r="D78" s="11">
        <v>255</v>
      </c>
      <c r="E78" s="11">
        <v>255</v>
      </c>
      <c r="F78" s="11">
        <v>192</v>
      </c>
      <c r="G78" s="11">
        <v>192</v>
      </c>
      <c r="H78" s="11">
        <v>192</v>
      </c>
      <c r="I78" s="11">
        <v>225</v>
      </c>
      <c r="J78" s="11">
        <v>127</v>
      </c>
      <c r="K78" s="11">
        <v>63</v>
      </c>
      <c r="L78" s="11">
        <v>0</v>
      </c>
      <c r="M78" s="12">
        <v>0</v>
      </c>
    </row>
    <row r="79" spans="1:13" x14ac:dyDescent="0.25">
      <c r="A79">
        <v>77</v>
      </c>
      <c r="B79" s="38" t="s">
        <v>931</v>
      </c>
      <c r="C79" s="42">
        <v>0</v>
      </c>
      <c r="D79" s="11">
        <v>255</v>
      </c>
      <c r="E79" s="11">
        <v>255</v>
      </c>
      <c r="F79" s="11">
        <v>192</v>
      </c>
      <c r="G79" s="11">
        <v>192</v>
      </c>
      <c r="H79" s="11">
        <v>192</v>
      </c>
      <c r="I79" s="11">
        <v>225</v>
      </c>
      <c r="J79" s="11">
        <v>127</v>
      </c>
      <c r="K79" s="11">
        <v>63</v>
      </c>
      <c r="L79" s="11">
        <v>0</v>
      </c>
      <c r="M79" s="12">
        <v>0</v>
      </c>
    </row>
    <row r="80" spans="1:13" x14ac:dyDescent="0.25">
      <c r="A80">
        <v>78</v>
      </c>
      <c r="B80" s="38" t="s">
        <v>932</v>
      </c>
      <c r="C80" s="42">
        <v>0</v>
      </c>
      <c r="D80" s="11">
        <v>255</v>
      </c>
      <c r="E80" s="11">
        <v>255</v>
      </c>
      <c r="F80" s="11">
        <v>0</v>
      </c>
      <c r="G80" s="11">
        <v>0</v>
      </c>
      <c r="H80" s="11">
        <v>0</v>
      </c>
      <c r="I80" s="11">
        <v>0</v>
      </c>
      <c r="J80" s="11">
        <v>0</v>
      </c>
      <c r="K80" s="11">
        <v>0</v>
      </c>
      <c r="L80" s="11">
        <v>0</v>
      </c>
      <c r="M80" s="12">
        <v>0</v>
      </c>
    </row>
    <row r="81" spans="1:13" x14ac:dyDescent="0.25">
      <c r="A81">
        <v>79</v>
      </c>
      <c r="B81" s="38" t="s">
        <v>933</v>
      </c>
      <c r="C81" s="42">
        <v>0</v>
      </c>
      <c r="D81" s="11">
        <v>224</v>
      </c>
      <c r="E81" s="11">
        <v>255</v>
      </c>
      <c r="F81" s="11">
        <v>127</v>
      </c>
      <c r="G81" s="11">
        <v>96</v>
      </c>
      <c r="H81" s="11">
        <v>96</v>
      </c>
      <c r="I81" s="11">
        <v>96</v>
      </c>
      <c r="J81" s="11">
        <v>96</v>
      </c>
      <c r="K81" s="11">
        <v>127</v>
      </c>
      <c r="L81" s="11">
        <v>255</v>
      </c>
      <c r="M81" s="12">
        <v>224</v>
      </c>
    </row>
    <row r="82" spans="1:13" x14ac:dyDescent="0.25">
      <c r="A82">
        <v>80</v>
      </c>
      <c r="B82" s="38" t="s">
        <v>934</v>
      </c>
      <c r="C82" s="42">
        <v>0</v>
      </c>
      <c r="D82" s="11">
        <v>255</v>
      </c>
      <c r="E82" s="11">
        <v>255</v>
      </c>
      <c r="F82" s="11">
        <v>193</v>
      </c>
      <c r="G82" s="11">
        <v>193</v>
      </c>
      <c r="H82" s="11">
        <v>193</v>
      </c>
      <c r="I82" s="11">
        <v>192</v>
      </c>
      <c r="J82" s="11">
        <v>0</v>
      </c>
      <c r="K82" s="11">
        <v>0</v>
      </c>
      <c r="L82" s="11">
        <v>0</v>
      </c>
      <c r="M82" s="12">
        <v>0</v>
      </c>
    </row>
    <row r="83" spans="1:13" x14ac:dyDescent="0.25">
      <c r="A83">
        <v>81</v>
      </c>
      <c r="B83" s="38" t="s">
        <v>935</v>
      </c>
      <c r="C83" s="42">
        <v>0</v>
      </c>
      <c r="D83" s="11">
        <v>252</v>
      </c>
      <c r="E83" s="11">
        <v>254</v>
      </c>
      <c r="F83" s="11">
        <v>3</v>
      </c>
      <c r="G83" s="11">
        <v>1</v>
      </c>
      <c r="H83" s="11">
        <v>255</v>
      </c>
      <c r="I83" s="11">
        <v>255</v>
      </c>
      <c r="J83" s="11">
        <v>1</v>
      </c>
      <c r="K83" s="11">
        <v>3</v>
      </c>
      <c r="L83" s="11">
        <v>254</v>
      </c>
      <c r="M83" s="12">
        <v>252</v>
      </c>
    </row>
    <row r="84" spans="1:13" x14ac:dyDescent="0.25">
      <c r="A84">
        <v>82</v>
      </c>
      <c r="B84" s="38" t="s">
        <v>936</v>
      </c>
      <c r="C84" s="42">
        <v>0</v>
      </c>
      <c r="D84" s="11">
        <v>56</v>
      </c>
      <c r="E84" s="11">
        <v>120</v>
      </c>
      <c r="F84" s="11">
        <v>224</v>
      </c>
      <c r="G84" s="11">
        <v>192</v>
      </c>
      <c r="H84" s="11">
        <v>192</v>
      </c>
      <c r="I84" s="11">
        <v>225</v>
      </c>
      <c r="J84" s="11">
        <v>127</v>
      </c>
      <c r="K84" s="11">
        <v>63</v>
      </c>
      <c r="L84" s="11">
        <v>0</v>
      </c>
      <c r="M84" s="12">
        <v>0</v>
      </c>
    </row>
    <row r="85" spans="1:13" x14ac:dyDescent="0.25">
      <c r="A85">
        <v>83</v>
      </c>
      <c r="B85" s="38" t="s">
        <v>937</v>
      </c>
      <c r="C85" s="42">
        <v>0</v>
      </c>
      <c r="D85" s="11">
        <v>255</v>
      </c>
      <c r="E85" s="11">
        <v>255</v>
      </c>
      <c r="F85" s="11">
        <v>56</v>
      </c>
      <c r="G85" s="11">
        <v>28</v>
      </c>
      <c r="H85" s="11">
        <v>14</v>
      </c>
      <c r="I85" s="11">
        <v>7</v>
      </c>
      <c r="J85" s="11">
        <v>255</v>
      </c>
      <c r="K85" s="11">
        <v>255</v>
      </c>
      <c r="L85" s="11">
        <v>0</v>
      </c>
      <c r="M85" s="12">
        <v>0</v>
      </c>
    </row>
    <row r="86" spans="1:13" x14ac:dyDescent="0.25">
      <c r="A86">
        <v>84</v>
      </c>
      <c r="B86" s="38" t="s">
        <v>938</v>
      </c>
      <c r="C86" s="42">
        <v>0</v>
      </c>
      <c r="D86" s="11">
        <v>255</v>
      </c>
      <c r="E86" s="11">
        <v>255</v>
      </c>
      <c r="F86" s="11">
        <v>56</v>
      </c>
      <c r="G86" s="11">
        <v>28</v>
      </c>
      <c r="H86" s="11">
        <v>14</v>
      </c>
      <c r="I86" s="11">
        <v>7</v>
      </c>
      <c r="J86" s="11">
        <v>255</v>
      </c>
      <c r="K86" s="11">
        <v>255</v>
      </c>
      <c r="L86" s="11">
        <v>0</v>
      </c>
      <c r="M86" s="12">
        <v>0</v>
      </c>
    </row>
    <row r="87" spans="1:13" x14ac:dyDescent="0.25">
      <c r="A87">
        <v>85</v>
      </c>
      <c r="B87" s="38" t="s">
        <v>939</v>
      </c>
      <c r="C87" s="42">
        <v>0</v>
      </c>
      <c r="D87" s="11">
        <v>255</v>
      </c>
      <c r="E87" s="11">
        <v>255</v>
      </c>
      <c r="F87" s="11">
        <v>1</v>
      </c>
      <c r="G87" s="11">
        <v>3</v>
      </c>
      <c r="H87" s="11">
        <v>6</v>
      </c>
      <c r="I87" s="11">
        <v>12</v>
      </c>
      <c r="J87" s="11">
        <v>248</v>
      </c>
      <c r="K87" s="11">
        <v>240</v>
      </c>
      <c r="L87" s="11">
        <v>0</v>
      </c>
      <c r="M87" s="12">
        <v>0</v>
      </c>
    </row>
    <row r="88" spans="1:13" x14ac:dyDescent="0.25">
      <c r="A88">
        <v>86</v>
      </c>
      <c r="B88" s="38" t="s">
        <v>940</v>
      </c>
      <c r="C88" s="42">
        <v>0</v>
      </c>
      <c r="D88" s="11">
        <v>192</v>
      </c>
      <c r="E88" s="11">
        <v>255</v>
      </c>
      <c r="F88" s="11">
        <v>127</v>
      </c>
      <c r="G88" s="11">
        <v>0</v>
      </c>
      <c r="H88" s="11">
        <v>0</v>
      </c>
      <c r="I88" s="11">
        <v>0</v>
      </c>
      <c r="J88" s="11">
        <v>255</v>
      </c>
      <c r="K88" s="11">
        <v>255</v>
      </c>
      <c r="L88" s="11">
        <v>0</v>
      </c>
      <c r="M88" s="12">
        <v>0</v>
      </c>
    </row>
    <row r="89" spans="1:13" x14ac:dyDescent="0.25">
      <c r="A89">
        <v>87</v>
      </c>
      <c r="B89" s="38" t="s">
        <v>941</v>
      </c>
      <c r="C89" s="42">
        <v>0</v>
      </c>
      <c r="D89" s="11">
        <v>255</v>
      </c>
      <c r="E89" s="11">
        <v>255</v>
      </c>
      <c r="F89" s="11">
        <v>0</v>
      </c>
      <c r="G89" s="11">
        <v>3</v>
      </c>
      <c r="H89" s="11">
        <v>63</v>
      </c>
      <c r="I89" s="11">
        <v>63</v>
      </c>
      <c r="J89" s="11">
        <v>3</v>
      </c>
      <c r="K89" s="11">
        <v>0</v>
      </c>
      <c r="L89" s="11">
        <v>255</v>
      </c>
      <c r="M89" s="12">
        <v>255</v>
      </c>
    </row>
    <row r="90" spans="1:13" x14ac:dyDescent="0.25">
      <c r="A90">
        <v>88</v>
      </c>
      <c r="B90" s="38" t="s">
        <v>942</v>
      </c>
      <c r="C90" s="42">
        <v>0</v>
      </c>
      <c r="D90" s="11">
        <v>255</v>
      </c>
      <c r="E90" s="11">
        <v>255</v>
      </c>
      <c r="F90" s="11">
        <v>1</v>
      </c>
      <c r="G90" s="11">
        <v>1</v>
      </c>
      <c r="H90" s="11">
        <v>1</v>
      </c>
      <c r="I90" s="11">
        <v>1</v>
      </c>
      <c r="J90" s="11">
        <v>255</v>
      </c>
      <c r="K90" s="11">
        <v>255</v>
      </c>
      <c r="L90" s="11">
        <v>0</v>
      </c>
      <c r="M90" s="12">
        <v>0</v>
      </c>
    </row>
    <row r="91" spans="1:13" x14ac:dyDescent="0.25">
      <c r="A91">
        <v>89</v>
      </c>
      <c r="B91" s="38" t="s">
        <v>943</v>
      </c>
      <c r="C91" s="42">
        <v>0</v>
      </c>
      <c r="D91" s="11">
        <v>63</v>
      </c>
      <c r="E91" s="11">
        <v>127</v>
      </c>
      <c r="F91" s="11">
        <v>224</v>
      </c>
      <c r="G91" s="11">
        <v>192</v>
      </c>
      <c r="H91" s="11">
        <v>192</v>
      </c>
      <c r="I91" s="11">
        <v>224</v>
      </c>
      <c r="J91" s="11">
        <v>127</v>
      </c>
      <c r="K91" s="11">
        <v>63</v>
      </c>
      <c r="L91" s="11">
        <v>0</v>
      </c>
      <c r="M91" s="12">
        <v>0</v>
      </c>
    </row>
    <row r="92" spans="1:13" x14ac:dyDescent="0.25">
      <c r="A92">
        <v>90</v>
      </c>
      <c r="B92" s="38" t="s">
        <v>944</v>
      </c>
      <c r="C92" s="42">
        <v>0</v>
      </c>
      <c r="D92" s="11">
        <v>255</v>
      </c>
      <c r="E92" s="11">
        <v>255</v>
      </c>
      <c r="F92" s="11">
        <v>0</v>
      </c>
      <c r="G92" s="11">
        <v>0</v>
      </c>
      <c r="H92" s="11">
        <v>0</v>
      </c>
      <c r="I92" s="11">
        <v>0</v>
      </c>
      <c r="J92" s="11">
        <v>255</v>
      </c>
      <c r="K92" s="11">
        <v>255</v>
      </c>
      <c r="L92" s="11">
        <v>0</v>
      </c>
      <c r="M92" s="12">
        <v>0</v>
      </c>
    </row>
    <row r="93" spans="1:13" x14ac:dyDescent="0.25">
      <c r="A93">
        <v>91</v>
      </c>
      <c r="B93" s="38" t="s">
        <v>945</v>
      </c>
      <c r="C93" s="42">
        <v>0</v>
      </c>
      <c r="D93" s="11">
        <v>255</v>
      </c>
      <c r="E93" s="11">
        <v>255</v>
      </c>
      <c r="F93" s="11">
        <v>6</v>
      </c>
      <c r="G93" s="11">
        <v>6</v>
      </c>
      <c r="H93" s="11">
        <v>6</v>
      </c>
      <c r="I93" s="11">
        <v>7</v>
      </c>
      <c r="J93" s="11">
        <v>3</v>
      </c>
      <c r="K93" s="11">
        <v>1</v>
      </c>
      <c r="L93" s="11">
        <v>0</v>
      </c>
      <c r="M93" s="12">
        <v>0</v>
      </c>
    </row>
    <row r="94" spans="1:13" x14ac:dyDescent="0.25">
      <c r="A94">
        <v>92</v>
      </c>
      <c r="B94" s="38" t="s">
        <v>946</v>
      </c>
      <c r="C94" s="42">
        <v>0</v>
      </c>
      <c r="D94" s="11">
        <v>63</v>
      </c>
      <c r="E94" s="11">
        <v>127</v>
      </c>
      <c r="F94" s="11">
        <v>224</v>
      </c>
      <c r="G94" s="11">
        <v>192</v>
      </c>
      <c r="H94" s="11">
        <v>192</v>
      </c>
      <c r="I94" s="11">
        <v>224</v>
      </c>
      <c r="J94" s="11">
        <v>120</v>
      </c>
      <c r="K94" s="11">
        <v>56</v>
      </c>
      <c r="L94" s="11">
        <v>0</v>
      </c>
      <c r="M94" s="12">
        <v>0</v>
      </c>
    </row>
    <row r="95" spans="1:13" x14ac:dyDescent="0.25">
      <c r="A95">
        <v>93</v>
      </c>
      <c r="B95" s="38" t="s">
        <v>947</v>
      </c>
      <c r="C95" s="42">
        <v>0</v>
      </c>
      <c r="D95" s="11">
        <v>0</v>
      </c>
      <c r="E95" s="11">
        <v>0</v>
      </c>
      <c r="F95" s="11">
        <v>0</v>
      </c>
      <c r="G95" s="11">
        <v>255</v>
      </c>
      <c r="H95" s="11">
        <v>255</v>
      </c>
      <c r="I95" s="11">
        <v>0</v>
      </c>
      <c r="J95" s="11">
        <v>0</v>
      </c>
      <c r="K95" s="11">
        <v>0</v>
      </c>
      <c r="L95" s="11">
        <v>0</v>
      </c>
      <c r="M95" s="12">
        <v>0</v>
      </c>
    </row>
    <row r="96" spans="1:13" x14ac:dyDescent="0.25">
      <c r="A96">
        <v>94</v>
      </c>
      <c r="B96" s="38" t="s">
        <v>948</v>
      </c>
      <c r="C96" s="42">
        <v>0</v>
      </c>
      <c r="D96" s="11">
        <v>48</v>
      </c>
      <c r="E96" s="11">
        <v>112</v>
      </c>
      <c r="F96" s="11">
        <v>224</v>
      </c>
      <c r="G96" s="11">
        <v>193</v>
      </c>
      <c r="H96" s="11">
        <v>195</v>
      </c>
      <c r="I96" s="11">
        <v>230</v>
      </c>
      <c r="J96" s="11">
        <v>127</v>
      </c>
      <c r="K96" s="11">
        <v>63</v>
      </c>
      <c r="L96" s="11">
        <v>0</v>
      </c>
      <c r="M96" s="12">
        <v>0</v>
      </c>
    </row>
    <row r="97" spans="1:13" x14ac:dyDescent="0.25">
      <c r="A97">
        <v>95</v>
      </c>
      <c r="B97" s="38" t="s">
        <v>949</v>
      </c>
      <c r="C97" s="42">
        <v>0</v>
      </c>
      <c r="D97" s="11">
        <v>15</v>
      </c>
      <c r="E97" s="11">
        <v>31</v>
      </c>
      <c r="F97" s="11">
        <v>56</v>
      </c>
      <c r="G97" s="11">
        <v>48</v>
      </c>
      <c r="H97" s="11">
        <v>255</v>
      </c>
      <c r="I97" s="11">
        <v>255</v>
      </c>
      <c r="J97" s="11">
        <v>48</v>
      </c>
      <c r="K97" s="11">
        <v>56</v>
      </c>
      <c r="L97" s="11">
        <v>31</v>
      </c>
      <c r="M97" s="12">
        <v>15</v>
      </c>
    </row>
    <row r="98" spans="1:13" x14ac:dyDescent="0.25">
      <c r="A98">
        <v>96</v>
      </c>
      <c r="B98" s="38" t="s">
        <v>950</v>
      </c>
      <c r="C98" s="42">
        <v>0</v>
      </c>
      <c r="D98" s="11">
        <v>248</v>
      </c>
      <c r="E98" s="11">
        <v>252</v>
      </c>
      <c r="F98" s="11">
        <v>14</v>
      </c>
      <c r="G98" s="11">
        <v>3</v>
      </c>
      <c r="H98" s="11">
        <v>3</v>
      </c>
      <c r="I98" s="11">
        <v>6</v>
      </c>
      <c r="J98" s="11">
        <v>252</v>
      </c>
      <c r="K98" s="11">
        <v>248</v>
      </c>
      <c r="L98" s="11">
        <v>0</v>
      </c>
      <c r="M98" s="12">
        <v>0</v>
      </c>
    </row>
    <row r="99" spans="1:13" x14ac:dyDescent="0.25">
      <c r="A99">
        <v>97</v>
      </c>
      <c r="B99" s="38" t="s">
        <v>951</v>
      </c>
      <c r="C99" s="42">
        <v>0</v>
      </c>
      <c r="D99" s="11">
        <v>127</v>
      </c>
      <c r="E99" s="11">
        <v>127</v>
      </c>
      <c r="F99" s="11">
        <v>96</v>
      </c>
      <c r="G99" s="11">
        <v>96</v>
      </c>
      <c r="H99" s="11">
        <v>96</v>
      </c>
      <c r="I99" s="11">
        <v>127</v>
      </c>
      <c r="J99" s="11">
        <v>255</v>
      </c>
      <c r="K99" s="11">
        <v>224</v>
      </c>
      <c r="L99" s="11">
        <v>0</v>
      </c>
      <c r="M99" s="12">
        <v>0</v>
      </c>
    </row>
    <row r="100" spans="1:13" x14ac:dyDescent="0.25">
      <c r="A100">
        <v>98</v>
      </c>
      <c r="B100" s="38" t="s">
        <v>952</v>
      </c>
      <c r="C100" s="42">
        <v>0</v>
      </c>
      <c r="D100" s="11">
        <v>1</v>
      </c>
      <c r="E100" s="11">
        <v>3</v>
      </c>
      <c r="F100" s="11">
        <v>7</v>
      </c>
      <c r="G100" s="11">
        <v>6</v>
      </c>
      <c r="H100" s="11">
        <v>6</v>
      </c>
      <c r="I100" s="11">
        <v>6</v>
      </c>
      <c r="J100" s="11">
        <v>255</v>
      </c>
      <c r="K100" s="11">
        <v>255</v>
      </c>
      <c r="L100" s="11">
        <v>0</v>
      </c>
      <c r="M100" s="12">
        <v>0</v>
      </c>
    </row>
    <row r="101" spans="1:13" x14ac:dyDescent="0.25">
      <c r="A101">
        <v>99</v>
      </c>
      <c r="B101" s="38" t="s">
        <v>953</v>
      </c>
      <c r="C101" s="42">
        <v>0</v>
      </c>
      <c r="D101" s="11">
        <v>255</v>
      </c>
      <c r="E101" s="11">
        <v>255</v>
      </c>
      <c r="F101" s="11">
        <v>224</v>
      </c>
      <c r="G101" s="11">
        <v>224</v>
      </c>
      <c r="H101" s="11">
        <v>255</v>
      </c>
      <c r="I101" s="11">
        <v>255</v>
      </c>
      <c r="J101" s="11">
        <v>224</v>
      </c>
      <c r="K101" s="11">
        <v>224</v>
      </c>
      <c r="L101" s="11">
        <v>255</v>
      </c>
      <c r="M101" s="12">
        <v>255</v>
      </c>
    </row>
    <row r="102" spans="1:13" x14ac:dyDescent="0.25">
      <c r="A102">
        <v>100</v>
      </c>
      <c r="B102" s="38" t="s">
        <v>954</v>
      </c>
      <c r="C102" s="42">
        <v>0</v>
      </c>
      <c r="D102" s="11">
        <v>127</v>
      </c>
      <c r="E102" s="11">
        <v>127</v>
      </c>
      <c r="F102" s="11">
        <v>112</v>
      </c>
      <c r="G102" s="11">
        <v>112</v>
      </c>
      <c r="H102" s="11">
        <v>127</v>
      </c>
      <c r="I102" s="11">
        <v>127</v>
      </c>
      <c r="J102" s="11">
        <v>112</v>
      </c>
      <c r="K102" s="11">
        <v>240</v>
      </c>
      <c r="L102" s="11">
        <v>255</v>
      </c>
      <c r="M102" s="12">
        <v>255</v>
      </c>
    </row>
    <row r="103" spans="1:13" x14ac:dyDescent="0.25">
      <c r="A103">
        <v>101</v>
      </c>
      <c r="B103" s="38" t="s">
        <v>955</v>
      </c>
      <c r="C103" s="42">
        <v>0</v>
      </c>
      <c r="D103" s="11">
        <v>0</v>
      </c>
      <c r="E103" s="11">
        <v>255</v>
      </c>
      <c r="F103" s="11">
        <v>255</v>
      </c>
      <c r="G103" s="11">
        <v>192</v>
      </c>
      <c r="H103" s="11">
        <v>192</v>
      </c>
      <c r="I103" s="11">
        <v>225</v>
      </c>
      <c r="J103" s="11">
        <v>127</v>
      </c>
      <c r="K103" s="11">
        <v>63</v>
      </c>
      <c r="L103" s="11">
        <v>0</v>
      </c>
      <c r="M103" s="12">
        <v>0</v>
      </c>
    </row>
    <row r="104" spans="1:13" x14ac:dyDescent="0.25">
      <c r="A104">
        <v>102</v>
      </c>
      <c r="B104" s="38" t="s">
        <v>956</v>
      </c>
      <c r="C104" s="42">
        <v>0</v>
      </c>
      <c r="D104" s="11">
        <v>255</v>
      </c>
      <c r="E104" s="11">
        <v>255</v>
      </c>
      <c r="F104" s="11">
        <v>192</v>
      </c>
      <c r="G104" s="11">
        <v>192</v>
      </c>
      <c r="H104" s="11">
        <v>225</v>
      </c>
      <c r="I104" s="11">
        <v>127</v>
      </c>
      <c r="J104" s="11">
        <v>63</v>
      </c>
      <c r="K104" s="11">
        <v>0</v>
      </c>
      <c r="L104" s="11">
        <v>255</v>
      </c>
      <c r="M104" s="12">
        <v>255</v>
      </c>
    </row>
    <row r="105" spans="1:13" x14ac:dyDescent="0.25">
      <c r="A105">
        <v>103</v>
      </c>
      <c r="B105" s="38" t="s">
        <v>957</v>
      </c>
      <c r="C105" s="42">
        <v>0</v>
      </c>
      <c r="D105" s="11">
        <v>255</v>
      </c>
      <c r="E105" s="11">
        <v>255</v>
      </c>
      <c r="F105" s="11">
        <v>192</v>
      </c>
      <c r="G105" s="11">
        <v>192</v>
      </c>
      <c r="H105" s="11">
        <v>192</v>
      </c>
      <c r="I105" s="11">
        <v>224</v>
      </c>
      <c r="J105" s="11">
        <v>127</v>
      </c>
      <c r="K105" s="11">
        <v>63</v>
      </c>
      <c r="L105" s="11">
        <v>0</v>
      </c>
      <c r="M105" s="12">
        <v>0</v>
      </c>
    </row>
    <row r="106" spans="1:13" x14ac:dyDescent="0.25">
      <c r="A106">
        <v>104</v>
      </c>
      <c r="B106" s="38" t="s">
        <v>958</v>
      </c>
      <c r="C106" s="42">
        <v>0</v>
      </c>
      <c r="D106" s="11">
        <v>48</v>
      </c>
      <c r="E106" s="11">
        <v>112</v>
      </c>
      <c r="F106" s="11">
        <v>224</v>
      </c>
      <c r="G106" s="11">
        <v>193</v>
      </c>
      <c r="H106" s="11">
        <v>193</v>
      </c>
      <c r="I106" s="11">
        <v>225</v>
      </c>
      <c r="J106" s="11">
        <v>127</v>
      </c>
      <c r="K106" s="11">
        <v>63</v>
      </c>
      <c r="L106" s="11">
        <v>0</v>
      </c>
      <c r="M106" s="12">
        <v>0</v>
      </c>
    </row>
    <row r="107" spans="1:13" x14ac:dyDescent="0.25">
      <c r="A107">
        <v>105</v>
      </c>
      <c r="B107" s="38" t="s">
        <v>959</v>
      </c>
      <c r="C107" s="42">
        <v>0</v>
      </c>
      <c r="D107" s="11">
        <v>255</v>
      </c>
      <c r="E107" s="11">
        <v>255</v>
      </c>
      <c r="F107" s="11">
        <v>1</v>
      </c>
      <c r="G107" s="11">
        <v>63</v>
      </c>
      <c r="H107" s="11">
        <v>127</v>
      </c>
      <c r="I107" s="11">
        <v>224</v>
      </c>
      <c r="J107" s="11">
        <v>192</v>
      </c>
      <c r="K107" s="11">
        <v>224</v>
      </c>
      <c r="L107" s="11">
        <v>127</v>
      </c>
      <c r="M107" s="12">
        <v>63</v>
      </c>
    </row>
    <row r="108" spans="1:13" x14ac:dyDescent="0.25">
      <c r="A108">
        <v>106</v>
      </c>
      <c r="B108" s="38" t="s">
        <v>960</v>
      </c>
      <c r="C108" s="42">
        <v>0</v>
      </c>
      <c r="D108" s="11">
        <v>192</v>
      </c>
      <c r="E108" s="11">
        <v>225</v>
      </c>
      <c r="F108" s="11">
        <v>115</v>
      </c>
      <c r="G108" s="11">
        <v>59</v>
      </c>
      <c r="H108" s="11">
        <v>31</v>
      </c>
      <c r="I108" s="11">
        <v>15</v>
      </c>
      <c r="J108" s="11">
        <v>255</v>
      </c>
      <c r="K108" s="11">
        <v>255</v>
      </c>
      <c r="L108" s="11">
        <v>0</v>
      </c>
      <c r="M108" s="12">
        <v>0</v>
      </c>
    </row>
    <row r="109" spans="1:13" x14ac:dyDescent="0.25">
      <c r="A109">
        <v>107</v>
      </c>
      <c r="B109" s="38" t="s">
        <v>961</v>
      </c>
      <c r="C109" s="42">
        <v>0</v>
      </c>
      <c r="D109" s="11">
        <v>56</v>
      </c>
      <c r="E109" s="11">
        <v>124</v>
      </c>
      <c r="F109" s="11">
        <v>238</v>
      </c>
      <c r="G109" s="11">
        <v>198</v>
      </c>
      <c r="H109" s="11">
        <v>198</v>
      </c>
      <c r="I109" s="11">
        <v>255</v>
      </c>
      <c r="J109" s="11">
        <v>255</v>
      </c>
      <c r="K109" s="11">
        <v>192</v>
      </c>
      <c r="L109" s="11">
        <v>0</v>
      </c>
      <c r="M109" s="12">
        <v>0</v>
      </c>
    </row>
    <row r="110" spans="1:13" x14ac:dyDescent="0.25">
      <c r="A110">
        <v>108</v>
      </c>
      <c r="B110" s="38" t="s">
        <v>962</v>
      </c>
      <c r="C110" s="42">
        <v>0</v>
      </c>
      <c r="D110" s="11">
        <v>255</v>
      </c>
      <c r="E110" s="11">
        <v>255</v>
      </c>
      <c r="F110" s="11">
        <v>195</v>
      </c>
      <c r="G110" s="11">
        <v>195</v>
      </c>
      <c r="H110" s="11">
        <v>195</v>
      </c>
      <c r="I110" s="11">
        <v>231</v>
      </c>
      <c r="J110" s="11">
        <v>126</v>
      </c>
      <c r="K110" s="11">
        <v>60</v>
      </c>
      <c r="L110" s="11">
        <v>0</v>
      </c>
      <c r="M110" s="12">
        <v>0</v>
      </c>
    </row>
    <row r="111" spans="1:13" x14ac:dyDescent="0.25">
      <c r="A111">
        <v>109</v>
      </c>
      <c r="B111" s="38" t="s">
        <v>963</v>
      </c>
      <c r="C111" s="42">
        <v>0</v>
      </c>
      <c r="D111" s="11">
        <v>255</v>
      </c>
      <c r="E111" s="11">
        <v>255</v>
      </c>
      <c r="F111" s="11">
        <v>198</v>
      </c>
      <c r="G111" s="11">
        <v>199</v>
      </c>
      <c r="H111" s="11">
        <v>237</v>
      </c>
      <c r="I111" s="11">
        <v>124</v>
      </c>
      <c r="J111" s="11">
        <v>56</v>
      </c>
      <c r="K111" s="11">
        <v>0</v>
      </c>
      <c r="L111" s="11">
        <v>0</v>
      </c>
      <c r="M111" s="12">
        <v>0</v>
      </c>
    </row>
    <row r="112" spans="1:13" x14ac:dyDescent="0.25">
      <c r="A112">
        <v>110</v>
      </c>
      <c r="B112" s="38" t="s">
        <v>964</v>
      </c>
      <c r="C112" s="42">
        <v>0</v>
      </c>
      <c r="D112" s="11">
        <v>255</v>
      </c>
      <c r="E112" s="11">
        <v>255</v>
      </c>
      <c r="F112" s="11">
        <v>0</v>
      </c>
      <c r="G112" s="11">
        <v>0</v>
      </c>
      <c r="H112" s="11">
        <v>0</v>
      </c>
      <c r="I112" s="11">
        <v>0</v>
      </c>
      <c r="J112" s="11">
        <v>0</v>
      </c>
      <c r="K112" s="11">
        <v>0</v>
      </c>
      <c r="L112" s="11">
        <v>0</v>
      </c>
      <c r="M112" s="12">
        <v>0</v>
      </c>
    </row>
    <row r="113" spans="1:13" x14ac:dyDescent="0.25">
      <c r="A113">
        <v>111</v>
      </c>
      <c r="B113" s="38" t="s">
        <v>965</v>
      </c>
      <c r="C113" s="42">
        <v>0</v>
      </c>
      <c r="D113" s="11">
        <v>224</v>
      </c>
      <c r="E113" s="11">
        <v>255</v>
      </c>
      <c r="F113" s="11">
        <v>127</v>
      </c>
      <c r="G113" s="11">
        <v>96</v>
      </c>
      <c r="H113" s="11">
        <v>96</v>
      </c>
      <c r="I113" s="11">
        <v>127</v>
      </c>
      <c r="J113" s="11">
        <v>255</v>
      </c>
      <c r="K113" s="11">
        <v>224</v>
      </c>
      <c r="L113" s="11">
        <v>0</v>
      </c>
      <c r="M113" s="12">
        <v>0</v>
      </c>
    </row>
    <row r="114" spans="1:13" x14ac:dyDescent="0.25">
      <c r="A114">
        <v>112</v>
      </c>
      <c r="B114" s="38" t="s">
        <v>966</v>
      </c>
      <c r="C114" s="42">
        <v>0</v>
      </c>
      <c r="D114" s="11">
        <v>63</v>
      </c>
      <c r="E114" s="11">
        <v>127</v>
      </c>
      <c r="F114" s="11">
        <v>230</v>
      </c>
      <c r="G114" s="11">
        <v>198</v>
      </c>
      <c r="H114" s="11">
        <v>198</v>
      </c>
      <c r="I114" s="11">
        <v>230</v>
      </c>
      <c r="J114" s="11">
        <v>103</v>
      </c>
      <c r="K114" s="11">
        <v>35</v>
      </c>
      <c r="L114" s="11">
        <v>0</v>
      </c>
      <c r="M114" s="12">
        <v>0</v>
      </c>
    </row>
    <row r="115" spans="1:13" x14ac:dyDescent="0.25">
      <c r="A115">
        <v>113</v>
      </c>
      <c r="B115" s="38" t="s">
        <v>967</v>
      </c>
      <c r="C115" s="42">
        <v>0</v>
      </c>
      <c r="D115" s="11">
        <v>240</v>
      </c>
      <c r="E115" s="11">
        <v>248</v>
      </c>
      <c r="F115" s="11">
        <v>13</v>
      </c>
      <c r="G115" s="11">
        <v>6</v>
      </c>
      <c r="H115" s="11">
        <v>255</v>
      </c>
      <c r="I115" s="11">
        <v>255</v>
      </c>
      <c r="J115" s="11">
        <v>6</v>
      </c>
      <c r="K115" s="11">
        <v>13</v>
      </c>
      <c r="L115" s="11">
        <v>248</v>
      </c>
      <c r="M115" s="12">
        <v>240</v>
      </c>
    </row>
    <row r="116" spans="1:13" x14ac:dyDescent="0.25">
      <c r="A116">
        <v>114</v>
      </c>
      <c r="B116" s="38" t="s">
        <v>968</v>
      </c>
      <c r="C116" s="42">
        <v>0</v>
      </c>
      <c r="D116" s="11">
        <v>48</v>
      </c>
      <c r="E116" s="11">
        <v>112</v>
      </c>
      <c r="F116" s="11">
        <v>224</v>
      </c>
      <c r="G116" s="11">
        <v>194</v>
      </c>
      <c r="H116" s="11">
        <v>198</v>
      </c>
      <c r="I116" s="11">
        <v>239</v>
      </c>
      <c r="J116" s="11">
        <v>125</v>
      </c>
      <c r="K116" s="11">
        <v>56</v>
      </c>
      <c r="L116" s="11">
        <v>0</v>
      </c>
      <c r="M116" s="12">
        <v>0</v>
      </c>
    </row>
    <row r="117" spans="1:13" x14ac:dyDescent="0.25">
      <c r="A117">
        <v>115</v>
      </c>
      <c r="B117" s="38" t="s">
        <v>969</v>
      </c>
      <c r="C117" s="42">
        <v>0</v>
      </c>
      <c r="D117" s="11">
        <v>255</v>
      </c>
      <c r="E117" s="11">
        <v>255</v>
      </c>
      <c r="F117" s="11">
        <v>96</v>
      </c>
      <c r="G117" s="11">
        <v>48</v>
      </c>
      <c r="H117" s="11">
        <v>24</v>
      </c>
      <c r="I117" s="11">
        <v>12</v>
      </c>
      <c r="J117" s="11">
        <v>255</v>
      </c>
      <c r="K117" s="11">
        <v>255</v>
      </c>
      <c r="L117" s="11">
        <v>0</v>
      </c>
      <c r="M117" s="12">
        <v>0</v>
      </c>
    </row>
    <row r="118" spans="1:13" x14ac:dyDescent="0.25">
      <c r="A118">
        <v>116</v>
      </c>
      <c r="B118" s="38" t="s">
        <v>970</v>
      </c>
      <c r="C118" s="42">
        <v>0</v>
      </c>
      <c r="D118" s="11">
        <v>255</v>
      </c>
      <c r="E118" s="11">
        <v>255</v>
      </c>
      <c r="F118" s="11">
        <v>96</v>
      </c>
      <c r="G118" s="11">
        <v>48</v>
      </c>
      <c r="H118" s="11">
        <v>24</v>
      </c>
      <c r="I118" s="11">
        <v>12</v>
      </c>
      <c r="J118" s="11">
        <v>255</v>
      </c>
      <c r="K118" s="11">
        <v>255</v>
      </c>
      <c r="L118" s="11">
        <v>0</v>
      </c>
      <c r="M118" s="12">
        <v>0</v>
      </c>
    </row>
    <row r="119" spans="1:13" x14ac:dyDescent="0.25">
      <c r="A119">
        <v>117</v>
      </c>
      <c r="B119" s="38" t="s">
        <v>971</v>
      </c>
      <c r="C119" s="42">
        <v>0</v>
      </c>
      <c r="D119" s="11">
        <v>255</v>
      </c>
      <c r="E119" s="11">
        <v>255</v>
      </c>
      <c r="F119" s="11">
        <v>6</v>
      </c>
      <c r="G119" s="11">
        <v>7</v>
      </c>
      <c r="H119" s="11">
        <v>13</v>
      </c>
      <c r="I119" s="11">
        <v>24</v>
      </c>
      <c r="J119" s="11">
        <v>240</v>
      </c>
      <c r="K119" s="11">
        <v>224</v>
      </c>
      <c r="L119" s="11">
        <v>0</v>
      </c>
      <c r="M119" s="12">
        <v>0</v>
      </c>
    </row>
    <row r="120" spans="1:13" x14ac:dyDescent="0.25">
      <c r="A120">
        <v>118</v>
      </c>
      <c r="B120" s="38" t="s">
        <v>972</v>
      </c>
      <c r="C120" s="42">
        <v>0</v>
      </c>
      <c r="D120" s="11">
        <v>192</v>
      </c>
      <c r="E120" s="11">
        <v>240</v>
      </c>
      <c r="F120" s="11">
        <v>28</v>
      </c>
      <c r="G120" s="11">
        <v>7</v>
      </c>
      <c r="H120" s="11">
        <v>1</v>
      </c>
      <c r="I120" s="11">
        <v>0</v>
      </c>
      <c r="J120" s="11">
        <v>255</v>
      </c>
      <c r="K120" s="11">
        <v>255</v>
      </c>
      <c r="L120" s="11">
        <v>0</v>
      </c>
      <c r="M120" s="12">
        <v>0</v>
      </c>
    </row>
    <row r="121" spans="1:13" x14ac:dyDescent="0.25">
      <c r="A121">
        <v>119</v>
      </c>
      <c r="B121" s="38" t="s">
        <v>973</v>
      </c>
      <c r="C121" s="42">
        <v>0</v>
      </c>
      <c r="D121" s="11">
        <v>255</v>
      </c>
      <c r="E121" s="11">
        <v>255</v>
      </c>
      <c r="F121" s="11">
        <v>3</v>
      </c>
      <c r="G121" s="11">
        <v>14</v>
      </c>
      <c r="H121" s="11">
        <v>120</v>
      </c>
      <c r="I121" s="11">
        <v>120</v>
      </c>
      <c r="J121" s="11">
        <v>14</v>
      </c>
      <c r="K121" s="11">
        <v>3</v>
      </c>
      <c r="L121" s="11">
        <v>255</v>
      </c>
      <c r="M121" s="12">
        <v>255</v>
      </c>
    </row>
    <row r="122" spans="1:13" x14ac:dyDescent="0.25">
      <c r="A122">
        <v>120</v>
      </c>
      <c r="B122" s="38" t="s">
        <v>974</v>
      </c>
      <c r="C122" s="42">
        <v>0</v>
      </c>
      <c r="D122" s="11">
        <v>255</v>
      </c>
      <c r="E122" s="11">
        <v>255</v>
      </c>
      <c r="F122" s="11">
        <v>6</v>
      </c>
      <c r="G122" s="11">
        <v>6</v>
      </c>
      <c r="H122" s="11">
        <v>6</v>
      </c>
      <c r="I122" s="11">
        <v>6</v>
      </c>
      <c r="J122" s="11">
        <v>255</v>
      </c>
      <c r="K122" s="11">
        <v>255</v>
      </c>
      <c r="L122" s="11">
        <v>0</v>
      </c>
      <c r="M122" s="12">
        <v>0</v>
      </c>
    </row>
    <row r="123" spans="1:13" x14ac:dyDescent="0.25">
      <c r="A123">
        <v>121</v>
      </c>
      <c r="B123" s="38" t="s">
        <v>975</v>
      </c>
      <c r="C123" s="42">
        <v>0</v>
      </c>
      <c r="D123" s="11">
        <v>63</v>
      </c>
      <c r="E123" s="11">
        <v>127</v>
      </c>
      <c r="F123" s="11">
        <v>224</v>
      </c>
      <c r="G123" s="11">
        <v>192</v>
      </c>
      <c r="H123" s="11">
        <v>192</v>
      </c>
      <c r="I123" s="11">
        <v>224</v>
      </c>
      <c r="J123" s="11">
        <v>127</v>
      </c>
      <c r="K123" s="11">
        <v>63</v>
      </c>
      <c r="L123" s="11">
        <v>0</v>
      </c>
      <c r="M123" s="12">
        <v>0</v>
      </c>
    </row>
    <row r="124" spans="1:13" x14ac:dyDescent="0.25">
      <c r="A124">
        <v>122</v>
      </c>
      <c r="B124" s="38" t="s">
        <v>976</v>
      </c>
      <c r="C124" s="42">
        <v>0</v>
      </c>
      <c r="D124" s="11">
        <v>255</v>
      </c>
      <c r="E124" s="11">
        <v>255</v>
      </c>
      <c r="F124" s="11">
        <v>0</v>
      </c>
      <c r="G124" s="11">
        <v>0</v>
      </c>
      <c r="H124" s="11">
        <v>0</v>
      </c>
      <c r="I124" s="11">
        <v>0</v>
      </c>
      <c r="J124" s="11">
        <v>255</v>
      </c>
      <c r="K124" s="11">
        <v>255</v>
      </c>
      <c r="L124" s="11">
        <v>0</v>
      </c>
      <c r="M124" s="12">
        <v>0</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8"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8"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977</v>
      </c>
      <c r="C189" s="42">
        <v>0</v>
      </c>
      <c r="D189" s="11">
        <v>240</v>
      </c>
      <c r="E189" s="11">
        <v>240</v>
      </c>
      <c r="F189" s="11">
        <v>48</v>
      </c>
      <c r="G189" s="11">
        <v>48</v>
      </c>
      <c r="H189" s="11">
        <v>48</v>
      </c>
      <c r="I189" s="11">
        <v>112</v>
      </c>
      <c r="J189" s="11">
        <v>224</v>
      </c>
      <c r="K189" s="11">
        <v>192</v>
      </c>
      <c r="L189" s="11">
        <v>0</v>
      </c>
      <c r="M189" s="12">
        <v>0</v>
      </c>
    </row>
    <row r="190" spans="1:13" x14ac:dyDescent="0.25">
      <c r="A190">
        <v>188</v>
      </c>
      <c r="B190" s="38" t="s">
        <v>978</v>
      </c>
      <c r="C190" s="42">
        <v>0</v>
      </c>
      <c r="D190" s="11">
        <v>192</v>
      </c>
      <c r="E190" s="11">
        <v>224</v>
      </c>
      <c r="F190" s="11">
        <v>112</v>
      </c>
      <c r="G190" s="11">
        <v>48</v>
      </c>
      <c r="H190" s="11">
        <v>48</v>
      </c>
      <c r="I190" s="11">
        <v>112</v>
      </c>
      <c r="J190" s="11">
        <v>224</v>
      </c>
      <c r="K190" s="11">
        <v>192</v>
      </c>
      <c r="L190" s="11">
        <v>0</v>
      </c>
      <c r="M190" s="12">
        <v>0</v>
      </c>
    </row>
    <row r="191" spans="1:13" x14ac:dyDescent="0.25">
      <c r="A191">
        <v>189</v>
      </c>
      <c r="B191" s="38" t="s">
        <v>979</v>
      </c>
      <c r="C191" s="42">
        <v>0</v>
      </c>
      <c r="D191" s="11">
        <v>112</v>
      </c>
      <c r="E191" s="11">
        <v>48</v>
      </c>
      <c r="F191" s="11">
        <v>48</v>
      </c>
      <c r="G191" s="11">
        <v>240</v>
      </c>
      <c r="H191" s="11">
        <v>240</v>
      </c>
      <c r="I191" s="11">
        <v>48</v>
      </c>
      <c r="J191" s="11">
        <v>48</v>
      </c>
      <c r="K191" s="11">
        <v>112</v>
      </c>
      <c r="L191" s="11">
        <v>0</v>
      </c>
      <c r="M191" s="12">
        <v>0</v>
      </c>
    </row>
    <row r="192" spans="1:13" x14ac:dyDescent="0.25">
      <c r="A192">
        <v>190</v>
      </c>
      <c r="B192" s="38" t="s">
        <v>980</v>
      </c>
      <c r="C192" s="42">
        <v>0</v>
      </c>
      <c r="D192" s="11">
        <v>240</v>
      </c>
      <c r="E192" s="11">
        <v>240</v>
      </c>
      <c r="F192" s="11">
        <v>0</v>
      </c>
      <c r="G192" s="11">
        <v>0</v>
      </c>
      <c r="H192" s="11">
        <v>0</v>
      </c>
      <c r="I192" s="11">
        <v>0</v>
      </c>
      <c r="J192" s="11">
        <v>240</v>
      </c>
      <c r="K192" s="11">
        <v>240</v>
      </c>
      <c r="L192" s="11">
        <v>0</v>
      </c>
      <c r="M192" s="12">
        <v>0</v>
      </c>
    </row>
    <row r="193" spans="1:13" x14ac:dyDescent="0.25">
      <c r="A193">
        <v>191</v>
      </c>
      <c r="B193" s="38" t="s">
        <v>981</v>
      </c>
      <c r="C193" s="42">
        <v>0</v>
      </c>
      <c r="D193" s="11">
        <v>128</v>
      </c>
      <c r="E193" s="11">
        <v>192</v>
      </c>
      <c r="F193" s="11">
        <v>224</v>
      </c>
      <c r="G193" s="11">
        <v>96</v>
      </c>
      <c r="H193" s="11">
        <v>240</v>
      </c>
      <c r="I193" s="11">
        <v>240</v>
      </c>
      <c r="J193" s="11">
        <v>96</v>
      </c>
      <c r="K193" s="11">
        <v>224</v>
      </c>
      <c r="L193" s="11">
        <v>192</v>
      </c>
      <c r="M193" s="12">
        <v>128</v>
      </c>
    </row>
    <row r="194" spans="1:13" x14ac:dyDescent="0.25">
      <c r="A194">
        <v>192</v>
      </c>
      <c r="B194" s="38" t="s">
        <v>982</v>
      </c>
      <c r="C194" s="42">
        <v>0</v>
      </c>
      <c r="D194" s="11">
        <v>112</v>
      </c>
      <c r="E194" s="11">
        <v>240</v>
      </c>
      <c r="F194" s="11">
        <v>128</v>
      </c>
      <c r="G194" s="11">
        <v>0</v>
      </c>
      <c r="H194" s="11">
        <v>0</v>
      </c>
      <c r="I194" s="11">
        <v>128</v>
      </c>
      <c r="J194" s="11">
        <v>240</v>
      </c>
      <c r="K194" s="11">
        <v>112</v>
      </c>
      <c r="L194" s="11">
        <v>0</v>
      </c>
      <c r="M194" s="12">
        <v>0</v>
      </c>
    </row>
    <row r="195" spans="1:13" x14ac:dyDescent="0.25">
      <c r="A195">
        <v>193</v>
      </c>
      <c r="B195" s="38" t="s">
        <v>983</v>
      </c>
      <c r="C195" s="42">
        <v>0</v>
      </c>
      <c r="D195" s="11">
        <v>240</v>
      </c>
      <c r="E195" s="11">
        <v>240</v>
      </c>
      <c r="F195" s="11">
        <v>0</v>
      </c>
      <c r="G195" s="11">
        <v>0</v>
      </c>
      <c r="H195" s="11">
        <v>0</v>
      </c>
      <c r="I195" s="11">
        <v>240</v>
      </c>
      <c r="J195" s="11">
        <v>240</v>
      </c>
      <c r="K195" s="11">
        <v>0</v>
      </c>
      <c r="L195" s="11">
        <v>0</v>
      </c>
      <c r="M195" s="12">
        <v>0</v>
      </c>
    </row>
    <row r="196" spans="1:13" x14ac:dyDescent="0.25">
      <c r="A196">
        <v>194</v>
      </c>
      <c r="B196" s="38" t="s">
        <v>984</v>
      </c>
      <c r="C196" s="42">
        <v>0</v>
      </c>
      <c r="D196" s="11">
        <v>240</v>
      </c>
      <c r="E196" s="11">
        <v>240</v>
      </c>
      <c r="F196" s="11">
        <v>0</v>
      </c>
      <c r="G196" s="11">
        <v>0</v>
      </c>
      <c r="H196" s="11">
        <v>0</v>
      </c>
      <c r="I196" s="11">
        <v>0</v>
      </c>
      <c r="J196" s="11">
        <v>240</v>
      </c>
      <c r="K196" s="11">
        <v>240</v>
      </c>
      <c r="L196" s="11">
        <v>0</v>
      </c>
      <c r="M196" s="12">
        <v>0</v>
      </c>
    </row>
    <row r="197" spans="1:13" x14ac:dyDescent="0.25">
      <c r="A197">
        <v>195</v>
      </c>
      <c r="B197" s="38" t="s">
        <v>985</v>
      </c>
      <c r="C197" s="42">
        <v>0</v>
      </c>
      <c r="D197" s="11">
        <v>240</v>
      </c>
      <c r="E197" s="11">
        <v>240</v>
      </c>
      <c r="F197" s="11">
        <v>0</v>
      </c>
      <c r="G197" s="11">
        <v>0</v>
      </c>
      <c r="H197" s="11">
        <v>224</v>
      </c>
      <c r="I197" s="11">
        <v>224</v>
      </c>
      <c r="J197" s="11">
        <v>0</v>
      </c>
      <c r="K197" s="11">
        <v>0</v>
      </c>
      <c r="L197" s="11">
        <v>240</v>
      </c>
      <c r="M197" s="12">
        <v>240</v>
      </c>
    </row>
    <row r="198" spans="1:13" x14ac:dyDescent="0.25">
      <c r="A198">
        <v>196</v>
      </c>
      <c r="B198" s="38" t="s">
        <v>986</v>
      </c>
      <c r="C198" s="42">
        <v>0</v>
      </c>
      <c r="D198" s="11">
        <v>240</v>
      </c>
      <c r="E198" s="11">
        <v>240</v>
      </c>
      <c r="F198" s="11">
        <v>0</v>
      </c>
      <c r="G198" s="11">
        <v>0</v>
      </c>
      <c r="H198" s="11">
        <v>128</v>
      </c>
      <c r="I198" s="11">
        <v>128</v>
      </c>
      <c r="J198" s="11">
        <v>0</v>
      </c>
      <c r="K198" s="11">
        <v>0</v>
      </c>
      <c r="L198" s="11">
        <v>240</v>
      </c>
      <c r="M198" s="12">
        <v>240</v>
      </c>
    </row>
    <row r="199" spans="1:13" x14ac:dyDescent="0.25">
      <c r="A199">
        <v>197</v>
      </c>
      <c r="B199" s="38" t="s">
        <v>987</v>
      </c>
      <c r="C199" s="42">
        <v>0</v>
      </c>
      <c r="D199" s="11">
        <v>48</v>
      </c>
      <c r="E199" s="11">
        <v>240</v>
      </c>
      <c r="F199" s="11">
        <v>240</v>
      </c>
      <c r="G199" s="11">
        <v>0</v>
      </c>
      <c r="H199" s="11">
        <v>0</v>
      </c>
      <c r="I199" s="11">
        <v>0</v>
      </c>
      <c r="J199" s="11">
        <v>0</v>
      </c>
      <c r="K199" s="11">
        <v>0</v>
      </c>
      <c r="L199" s="11">
        <v>0</v>
      </c>
      <c r="M199" s="12">
        <v>0</v>
      </c>
    </row>
    <row r="200" spans="1:13" x14ac:dyDescent="0.25">
      <c r="A200">
        <v>198</v>
      </c>
      <c r="B200" s="38" t="s">
        <v>988</v>
      </c>
      <c r="C200" s="42">
        <v>0</v>
      </c>
      <c r="D200" s="11">
        <v>240</v>
      </c>
      <c r="E200" s="11">
        <v>240</v>
      </c>
      <c r="F200" s="11">
        <v>0</v>
      </c>
      <c r="G200" s="11">
        <v>0</v>
      </c>
      <c r="H200" s="11">
        <v>0</v>
      </c>
      <c r="I200" s="11">
        <v>0</v>
      </c>
      <c r="J200" s="11">
        <v>0</v>
      </c>
      <c r="K200" s="11">
        <v>0</v>
      </c>
      <c r="L200" s="11">
        <v>240</v>
      </c>
      <c r="M200" s="12">
        <v>240</v>
      </c>
    </row>
    <row r="201" spans="1:13" x14ac:dyDescent="0.25">
      <c r="A201">
        <v>199</v>
      </c>
      <c r="B201" s="38" t="s">
        <v>989</v>
      </c>
      <c r="C201" s="42">
        <v>0</v>
      </c>
      <c r="D201" s="11">
        <v>240</v>
      </c>
      <c r="E201" s="11">
        <v>240</v>
      </c>
      <c r="F201" s="11">
        <v>0</v>
      </c>
      <c r="G201" s="11">
        <v>0</v>
      </c>
      <c r="H201" s="11">
        <v>0</v>
      </c>
      <c r="I201" s="11">
        <v>0</v>
      </c>
      <c r="J201" s="11">
        <v>0</v>
      </c>
      <c r="K201" s="11">
        <v>0</v>
      </c>
      <c r="L201" s="11">
        <v>0</v>
      </c>
      <c r="M201" s="12">
        <v>0</v>
      </c>
    </row>
    <row r="202" spans="1:13" x14ac:dyDescent="0.25">
      <c r="A202">
        <v>200</v>
      </c>
      <c r="B202" s="38" t="s">
        <v>990</v>
      </c>
      <c r="C202" s="42">
        <v>0</v>
      </c>
      <c r="D202" s="11">
        <v>192</v>
      </c>
      <c r="E202" s="11">
        <v>224</v>
      </c>
      <c r="F202" s="11">
        <v>112</v>
      </c>
      <c r="G202" s="11">
        <v>48</v>
      </c>
      <c r="H202" s="11">
        <v>48</v>
      </c>
      <c r="I202" s="11">
        <v>112</v>
      </c>
      <c r="J202" s="11">
        <v>224</v>
      </c>
      <c r="K202" s="11">
        <v>192</v>
      </c>
      <c r="L202" s="11">
        <v>0</v>
      </c>
      <c r="M202" s="12">
        <v>0</v>
      </c>
    </row>
    <row r="203" spans="1:13" x14ac:dyDescent="0.25">
      <c r="A203">
        <v>201</v>
      </c>
      <c r="B203" s="38" t="s">
        <v>991</v>
      </c>
      <c r="C203" s="42">
        <v>0</v>
      </c>
      <c r="D203" s="11">
        <v>240</v>
      </c>
      <c r="E203" s="11">
        <v>240</v>
      </c>
      <c r="F203" s="11">
        <v>0</v>
      </c>
      <c r="G203" s="11">
        <v>192</v>
      </c>
      <c r="H203" s="11">
        <v>224</v>
      </c>
      <c r="I203" s="11">
        <v>112</v>
      </c>
      <c r="J203" s="11">
        <v>48</v>
      </c>
      <c r="K203" s="11">
        <v>112</v>
      </c>
      <c r="L203" s="11">
        <v>224</v>
      </c>
      <c r="M203" s="12">
        <v>192</v>
      </c>
    </row>
    <row r="204" spans="1:13" x14ac:dyDescent="0.25">
      <c r="A204">
        <v>202</v>
      </c>
      <c r="B204" s="38" t="s">
        <v>992</v>
      </c>
      <c r="C204" s="42">
        <v>0</v>
      </c>
      <c r="D204" s="11">
        <v>192</v>
      </c>
      <c r="E204" s="11">
        <v>224</v>
      </c>
      <c r="F204" s="11">
        <v>112</v>
      </c>
      <c r="G204" s="11">
        <v>48</v>
      </c>
      <c r="H204" s="11">
        <v>48</v>
      </c>
      <c r="I204" s="11">
        <v>48</v>
      </c>
      <c r="J204" s="11">
        <v>240</v>
      </c>
      <c r="K204" s="11">
        <v>240</v>
      </c>
      <c r="L204" s="11">
        <v>0</v>
      </c>
      <c r="M204" s="12">
        <v>0</v>
      </c>
    </row>
    <row r="205" spans="1:13" x14ac:dyDescent="0.25">
      <c r="A205">
        <v>203</v>
      </c>
      <c r="B205" s="38" t="s">
        <v>993</v>
      </c>
      <c r="C205" s="42">
        <v>0</v>
      </c>
      <c r="D205" s="11">
        <v>248</v>
      </c>
      <c r="E205" s="11">
        <v>252</v>
      </c>
      <c r="F205" s="11">
        <v>14</v>
      </c>
      <c r="G205" s="11">
        <v>7</v>
      </c>
      <c r="H205" s="11">
        <v>7</v>
      </c>
      <c r="I205" s="11">
        <v>14</v>
      </c>
      <c r="J205" s="11">
        <v>252</v>
      </c>
      <c r="K205" s="11">
        <v>248</v>
      </c>
      <c r="L205" s="11">
        <v>0</v>
      </c>
      <c r="M205" s="12">
        <v>0</v>
      </c>
    </row>
    <row r="206" spans="1:13" x14ac:dyDescent="0.25">
      <c r="A206">
        <v>204</v>
      </c>
      <c r="B206" s="38" t="s">
        <v>994</v>
      </c>
      <c r="C206" s="42">
        <v>0</v>
      </c>
      <c r="D206" s="11">
        <v>255</v>
      </c>
      <c r="E206" s="11">
        <v>255</v>
      </c>
      <c r="F206" s="11">
        <v>195</v>
      </c>
      <c r="G206" s="11">
        <v>195</v>
      </c>
      <c r="H206" s="11">
        <v>195</v>
      </c>
      <c r="I206" s="11">
        <v>195</v>
      </c>
      <c r="J206" s="11">
        <v>131</v>
      </c>
      <c r="K206" s="11">
        <v>0</v>
      </c>
      <c r="L206" s="11">
        <v>0</v>
      </c>
      <c r="M206" s="12">
        <v>0</v>
      </c>
    </row>
    <row r="207" spans="1:13" x14ac:dyDescent="0.25">
      <c r="A207">
        <v>205</v>
      </c>
      <c r="B207" s="38" t="s">
        <v>995</v>
      </c>
      <c r="C207" s="42">
        <v>0</v>
      </c>
      <c r="D207" s="11">
        <v>255</v>
      </c>
      <c r="E207" s="11">
        <v>255</v>
      </c>
      <c r="F207" s="11">
        <v>195</v>
      </c>
      <c r="G207" s="11">
        <v>195</v>
      </c>
      <c r="H207" s="11">
        <v>195</v>
      </c>
      <c r="I207" s="11">
        <v>231</v>
      </c>
      <c r="J207" s="11">
        <v>190</v>
      </c>
      <c r="K207" s="11">
        <v>28</v>
      </c>
      <c r="L207" s="11">
        <v>0</v>
      </c>
      <c r="M207" s="12">
        <v>0</v>
      </c>
    </row>
    <row r="208" spans="1:13" x14ac:dyDescent="0.25">
      <c r="A208">
        <v>206</v>
      </c>
      <c r="B208" s="38" t="s">
        <v>996</v>
      </c>
      <c r="C208" s="42">
        <v>0</v>
      </c>
      <c r="D208" s="11">
        <v>255</v>
      </c>
      <c r="E208" s="11">
        <v>255</v>
      </c>
      <c r="F208" s="11">
        <v>3</v>
      </c>
      <c r="G208" s="11">
        <v>3</v>
      </c>
      <c r="H208" s="11">
        <v>7</v>
      </c>
      <c r="I208" s="11">
        <v>7</v>
      </c>
      <c r="J208" s="11">
        <v>0</v>
      </c>
      <c r="K208" s="11">
        <v>0</v>
      </c>
      <c r="L208" s="11">
        <v>0</v>
      </c>
      <c r="M208" s="12">
        <v>0</v>
      </c>
    </row>
    <row r="209" spans="1:13" x14ac:dyDescent="0.25">
      <c r="A209">
        <v>207</v>
      </c>
      <c r="B209" s="38" t="s">
        <v>997</v>
      </c>
      <c r="C209" s="42">
        <v>0</v>
      </c>
      <c r="D209" s="11">
        <v>0</v>
      </c>
      <c r="E209" s="11">
        <v>248</v>
      </c>
      <c r="F209" s="11">
        <v>252</v>
      </c>
      <c r="G209" s="11">
        <v>14</v>
      </c>
      <c r="H209" s="11">
        <v>7</v>
      </c>
      <c r="I209" s="11">
        <v>7</v>
      </c>
      <c r="J209" s="11">
        <v>7</v>
      </c>
      <c r="K209" s="11">
        <v>255</v>
      </c>
      <c r="L209" s="11">
        <v>255</v>
      </c>
      <c r="M209" s="12">
        <v>0</v>
      </c>
    </row>
    <row r="210" spans="1:13" x14ac:dyDescent="0.25">
      <c r="A210">
        <v>208</v>
      </c>
      <c r="B210" s="38" t="s">
        <v>998</v>
      </c>
      <c r="C210" s="42">
        <v>0</v>
      </c>
      <c r="D210" s="11">
        <v>255</v>
      </c>
      <c r="E210" s="11">
        <v>255</v>
      </c>
      <c r="F210" s="11">
        <v>131</v>
      </c>
      <c r="G210" s="11">
        <v>131</v>
      </c>
      <c r="H210" s="11">
        <v>131</v>
      </c>
      <c r="I210" s="11">
        <v>3</v>
      </c>
      <c r="J210" s="11">
        <v>0</v>
      </c>
      <c r="K210" s="11">
        <v>0</v>
      </c>
      <c r="L210" s="11">
        <v>0</v>
      </c>
      <c r="M210" s="12">
        <v>0</v>
      </c>
    </row>
    <row r="211" spans="1:13" x14ac:dyDescent="0.25">
      <c r="A211">
        <v>209</v>
      </c>
      <c r="B211" s="38" t="s">
        <v>999</v>
      </c>
      <c r="C211" s="42">
        <v>0</v>
      </c>
      <c r="D211" s="11">
        <v>31</v>
      </c>
      <c r="E211" s="11">
        <v>63</v>
      </c>
      <c r="F211" s="11">
        <v>96</v>
      </c>
      <c r="G211" s="11">
        <v>192</v>
      </c>
      <c r="H211" s="11">
        <v>255</v>
      </c>
      <c r="I211" s="11">
        <v>255</v>
      </c>
      <c r="J211" s="11">
        <v>192</v>
      </c>
      <c r="K211" s="11">
        <v>96</v>
      </c>
      <c r="L211" s="11">
        <v>63</v>
      </c>
      <c r="M211" s="12">
        <v>63</v>
      </c>
    </row>
    <row r="212" spans="1:13" x14ac:dyDescent="0.25">
      <c r="A212">
        <v>210</v>
      </c>
      <c r="B212" s="38" t="s">
        <v>1000</v>
      </c>
      <c r="C212" s="42">
        <v>0</v>
      </c>
      <c r="D212" s="11">
        <v>12</v>
      </c>
      <c r="E212" s="11">
        <v>14</v>
      </c>
      <c r="F212" s="11">
        <v>7</v>
      </c>
      <c r="G212" s="11">
        <v>195</v>
      </c>
      <c r="H212" s="11">
        <v>195</v>
      </c>
      <c r="I212" s="11">
        <v>231</v>
      </c>
      <c r="J212" s="11">
        <v>190</v>
      </c>
      <c r="K212" s="11">
        <v>28</v>
      </c>
      <c r="L212" s="11">
        <v>0</v>
      </c>
      <c r="M212" s="12">
        <v>0</v>
      </c>
    </row>
    <row r="213" spans="1:13" x14ac:dyDescent="0.25">
      <c r="A213">
        <v>211</v>
      </c>
      <c r="B213" s="38" t="s">
        <v>1001</v>
      </c>
      <c r="C213" s="42">
        <v>0</v>
      </c>
      <c r="D213" s="11">
        <v>255</v>
      </c>
      <c r="E213" s="11">
        <v>255</v>
      </c>
      <c r="F213" s="11">
        <v>0</v>
      </c>
      <c r="G213" s="11">
        <v>0</v>
      </c>
      <c r="H213" s="11">
        <v>0</v>
      </c>
      <c r="I213" s="11">
        <v>0</v>
      </c>
      <c r="J213" s="11">
        <v>255</v>
      </c>
      <c r="K213" s="11">
        <v>255</v>
      </c>
      <c r="L213" s="11">
        <v>0</v>
      </c>
      <c r="M213" s="12">
        <v>0</v>
      </c>
    </row>
    <row r="214" spans="1:13" x14ac:dyDescent="0.25">
      <c r="A214">
        <v>212</v>
      </c>
      <c r="B214" s="38" t="s">
        <v>1002</v>
      </c>
      <c r="C214" s="42">
        <v>0</v>
      </c>
      <c r="D214" s="11">
        <v>254</v>
      </c>
      <c r="E214" s="11">
        <v>254</v>
      </c>
      <c r="F214" s="11">
        <v>0</v>
      </c>
      <c r="G214" s="11">
        <v>3</v>
      </c>
      <c r="H214" s="11">
        <v>3</v>
      </c>
      <c r="I214" s="11">
        <v>0</v>
      </c>
      <c r="J214" s="11">
        <v>254</v>
      </c>
      <c r="K214" s="11">
        <v>254</v>
      </c>
      <c r="L214" s="11">
        <v>0</v>
      </c>
      <c r="M214" s="12">
        <v>0</v>
      </c>
    </row>
    <row r="215" spans="1:13" x14ac:dyDescent="0.25">
      <c r="A215">
        <v>213</v>
      </c>
      <c r="B215" s="38" t="s">
        <v>1003</v>
      </c>
      <c r="C215" s="42">
        <v>0</v>
      </c>
      <c r="D215" s="11">
        <v>255</v>
      </c>
      <c r="E215" s="11">
        <v>255</v>
      </c>
      <c r="F215" s="11">
        <v>128</v>
      </c>
      <c r="G215" s="11">
        <v>192</v>
      </c>
      <c r="H215" s="11">
        <v>96</v>
      </c>
      <c r="I215" s="11">
        <v>48</v>
      </c>
      <c r="J215" s="11">
        <v>31</v>
      </c>
      <c r="K215" s="11">
        <v>15</v>
      </c>
      <c r="L215" s="11">
        <v>0</v>
      </c>
      <c r="M215" s="12">
        <v>0</v>
      </c>
    </row>
    <row r="216" spans="1:13" x14ac:dyDescent="0.25">
      <c r="A216">
        <v>214</v>
      </c>
      <c r="B216" s="38" t="s">
        <v>1004</v>
      </c>
      <c r="C216" s="42">
        <v>0</v>
      </c>
      <c r="D216" s="11">
        <v>0</v>
      </c>
      <c r="E216" s="11">
        <v>248</v>
      </c>
      <c r="F216" s="11">
        <v>252</v>
      </c>
      <c r="G216" s="11">
        <v>14</v>
      </c>
      <c r="H216" s="11">
        <v>7</v>
      </c>
      <c r="I216" s="11">
        <v>7</v>
      </c>
      <c r="J216" s="11">
        <v>255</v>
      </c>
      <c r="K216" s="11">
        <v>255</v>
      </c>
      <c r="L216" s="11">
        <v>0</v>
      </c>
      <c r="M216" s="12">
        <v>0</v>
      </c>
    </row>
    <row r="217" spans="1:13" x14ac:dyDescent="0.25">
      <c r="A217">
        <v>215</v>
      </c>
      <c r="B217" s="38" t="s">
        <v>1005</v>
      </c>
      <c r="C217" s="42">
        <v>0</v>
      </c>
      <c r="D217" s="11">
        <v>255</v>
      </c>
      <c r="E217" s="11">
        <v>255</v>
      </c>
      <c r="F217" s="11">
        <v>240</v>
      </c>
      <c r="G217" s="11">
        <v>192</v>
      </c>
      <c r="H217" s="11">
        <v>0</v>
      </c>
      <c r="I217" s="11">
        <v>0</v>
      </c>
      <c r="J217" s="11">
        <v>192</v>
      </c>
      <c r="K217" s="11">
        <v>240</v>
      </c>
      <c r="L217" s="11">
        <v>255</v>
      </c>
      <c r="M217" s="12">
        <v>255</v>
      </c>
    </row>
    <row r="218" spans="1:13" x14ac:dyDescent="0.25">
      <c r="A218">
        <v>216</v>
      </c>
      <c r="B218" s="38" t="s">
        <v>1006</v>
      </c>
      <c r="C218" s="42">
        <v>0</v>
      </c>
      <c r="D218" s="11">
        <v>255</v>
      </c>
      <c r="E218" s="11">
        <v>255</v>
      </c>
      <c r="F218" s="11">
        <v>128</v>
      </c>
      <c r="G218" s="11">
        <v>128</v>
      </c>
      <c r="H218" s="11">
        <v>128</v>
      </c>
      <c r="I218" s="11">
        <v>128</v>
      </c>
      <c r="J218" s="11">
        <v>255</v>
      </c>
      <c r="K218" s="11">
        <v>255</v>
      </c>
      <c r="L218" s="11">
        <v>0</v>
      </c>
      <c r="M218" s="12">
        <v>0</v>
      </c>
    </row>
    <row r="219" spans="1:13" x14ac:dyDescent="0.25">
      <c r="A219">
        <v>217</v>
      </c>
      <c r="B219" s="38" t="s">
        <v>1007</v>
      </c>
      <c r="C219" s="42">
        <v>0</v>
      </c>
      <c r="D219" s="11">
        <v>252</v>
      </c>
      <c r="E219" s="11">
        <v>254</v>
      </c>
      <c r="F219" s="11">
        <v>7</v>
      </c>
      <c r="G219" s="11">
        <v>3</v>
      </c>
      <c r="H219" s="11">
        <v>3</v>
      </c>
      <c r="I219" s="11">
        <v>7</v>
      </c>
      <c r="J219" s="11">
        <v>254</v>
      </c>
      <c r="K219" s="11">
        <v>252</v>
      </c>
      <c r="L219" s="11">
        <v>0</v>
      </c>
      <c r="M219" s="12">
        <v>0</v>
      </c>
    </row>
    <row r="220" spans="1:13" x14ac:dyDescent="0.25">
      <c r="A220">
        <v>218</v>
      </c>
      <c r="B220" s="38" t="s">
        <v>1008</v>
      </c>
      <c r="C220" s="42">
        <v>0</v>
      </c>
      <c r="D220" s="11">
        <v>255</v>
      </c>
      <c r="E220" s="11">
        <v>255</v>
      </c>
      <c r="F220" s="11">
        <v>7</v>
      </c>
      <c r="G220" s="11">
        <v>7</v>
      </c>
      <c r="H220" s="11">
        <v>7</v>
      </c>
      <c r="I220" s="11">
        <v>7</v>
      </c>
      <c r="J220" s="11">
        <v>255</v>
      </c>
      <c r="K220" s="11">
        <v>255</v>
      </c>
      <c r="L220" s="11">
        <v>0</v>
      </c>
      <c r="M220" s="12">
        <v>0</v>
      </c>
    </row>
    <row r="221" spans="1:13" x14ac:dyDescent="0.25">
      <c r="A221">
        <v>219</v>
      </c>
      <c r="B221" s="38" t="s">
        <v>1009</v>
      </c>
      <c r="C221" s="42">
        <v>0</v>
      </c>
      <c r="D221" s="11">
        <v>255</v>
      </c>
      <c r="E221" s="11">
        <v>255</v>
      </c>
      <c r="F221" s="11">
        <v>3</v>
      </c>
      <c r="G221" s="11">
        <v>3</v>
      </c>
      <c r="H221" s="11">
        <v>3</v>
      </c>
      <c r="I221" s="11">
        <v>7</v>
      </c>
      <c r="J221" s="11">
        <v>254</v>
      </c>
      <c r="K221" s="11">
        <v>252</v>
      </c>
      <c r="L221" s="11">
        <v>0</v>
      </c>
      <c r="M221" s="12">
        <v>0</v>
      </c>
    </row>
    <row r="222" spans="1:13" x14ac:dyDescent="0.25">
      <c r="A222">
        <v>220</v>
      </c>
      <c r="B222" s="38" t="s">
        <v>1010</v>
      </c>
      <c r="C222" s="42">
        <v>0</v>
      </c>
      <c r="D222" s="11">
        <v>252</v>
      </c>
      <c r="E222" s="11">
        <v>254</v>
      </c>
      <c r="F222" s="11">
        <v>7</v>
      </c>
      <c r="G222" s="11">
        <v>3</v>
      </c>
      <c r="H222" s="11">
        <v>3</v>
      </c>
      <c r="I222" s="11">
        <v>7</v>
      </c>
      <c r="J222" s="11">
        <v>30</v>
      </c>
      <c r="K222" s="11">
        <v>28</v>
      </c>
      <c r="L222" s="11">
        <v>0</v>
      </c>
      <c r="M222" s="12">
        <v>0</v>
      </c>
    </row>
    <row r="223" spans="1:13" x14ac:dyDescent="0.25">
      <c r="A223">
        <v>221</v>
      </c>
      <c r="B223" s="38" t="s">
        <v>1011</v>
      </c>
      <c r="C223" s="42">
        <v>0</v>
      </c>
      <c r="D223" s="11">
        <v>7</v>
      </c>
      <c r="E223" s="11">
        <v>7</v>
      </c>
      <c r="F223" s="11">
        <v>3</v>
      </c>
      <c r="G223" s="11">
        <v>255</v>
      </c>
      <c r="H223" s="11">
        <v>255</v>
      </c>
      <c r="I223" s="11">
        <v>3</v>
      </c>
      <c r="J223" s="11">
        <v>7</v>
      </c>
      <c r="K223" s="11">
        <v>7</v>
      </c>
      <c r="L223" s="11">
        <v>0</v>
      </c>
      <c r="M223" s="12">
        <v>0</v>
      </c>
    </row>
    <row r="224" spans="1:13" x14ac:dyDescent="0.25">
      <c r="A224">
        <v>222</v>
      </c>
      <c r="B224" s="38" t="s">
        <v>1012</v>
      </c>
      <c r="C224" s="42">
        <v>0</v>
      </c>
      <c r="D224" s="11">
        <v>63</v>
      </c>
      <c r="E224" s="11">
        <v>127</v>
      </c>
      <c r="F224" s="11">
        <v>192</v>
      </c>
      <c r="G224" s="11">
        <v>128</v>
      </c>
      <c r="H224" s="11">
        <v>0</v>
      </c>
      <c r="I224" s="11">
        <v>0</v>
      </c>
      <c r="J224" s="11">
        <v>255</v>
      </c>
      <c r="K224" s="11">
        <v>255</v>
      </c>
      <c r="L224" s="11">
        <v>0</v>
      </c>
      <c r="M224" s="12">
        <v>0</v>
      </c>
    </row>
    <row r="225" spans="1:13" x14ac:dyDescent="0.25">
      <c r="A225">
        <v>223</v>
      </c>
      <c r="B225" s="38" t="s">
        <v>1013</v>
      </c>
      <c r="C225" s="42">
        <v>0</v>
      </c>
      <c r="D225" s="11">
        <v>240</v>
      </c>
      <c r="E225" s="11">
        <v>248</v>
      </c>
      <c r="F225" s="11">
        <v>28</v>
      </c>
      <c r="G225" s="11">
        <v>12</v>
      </c>
      <c r="H225" s="11">
        <v>255</v>
      </c>
      <c r="I225" s="11">
        <v>255</v>
      </c>
      <c r="J225" s="11">
        <v>12</v>
      </c>
      <c r="K225" s="11">
        <v>28</v>
      </c>
      <c r="L225" s="11">
        <v>248</v>
      </c>
      <c r="M225" s="12">
        <v>240</v>
      </c>
    </row>
    <row r="226" spans="1:13" x14ac:dyDescent="0.25">
      <c r="A226">
        <v>224</v>
      </c>
      <c r="B226" s="38" t="s">
        <v>1014</v>
      </c>
      <c r="C226" s="42">
        <v>0</v>
      </c>
      <c r="D226" s="11">
        <v>31</v>
      </c>
      <c r="E226" s="11">
        <v>63</v>
      </c>
      <c r="F226" s="11">
        <v>112</v>
      </c>
      <c r="G226" s="11">
        <v>192</v>
      </c>
      <c r="H226" s="11">
        <v>192</v>
      </c>
      <c r="I226" s="11">
        <v>112</v>
      </c>
      <c r="J226" s="11">
        <v>63</v>
      </c>
      <c r="K226" s="11">
        <v>31</v>
      </c>
      <c r="L226" s="11">
        <v>0</v>
      </c>
      <c r="M226" s="12">
        <v>0</v>
      </c>
    </row>
    <row r="227" spans="1:13" x14ac:dyDescent="0.25">
      <c r="A227">
        <v>225</v>
      </c>
      <c r="B227" s="38" t="s">
        <v>1015</v>
      </c>
      <c r="C227" s="42">
        <v>0</v>
      </c>
      <c r="D227" s="11">
        <v>255</v>
      </c>
      <c r="E227" s="11">
        <v>255</v>
      </c>
      <c r="F227" s="11">
        <v>0</v>
      </c>
      <c r="G227" s="11">
        <v>0</v>
      </c>
      <c r="H227" s="11">
        <v>0</v>
      </c>
      <c r="I227" s="11">
        <v>255</v>
      </c>
      <c r="J227" s="11">
        <v>255</v>
      </c>
      <c r="K227" s="11">
        <v>0</v>
      </c>
      <c r="L227" s="11">
        <v>0</v>
      </c>
      <c r="M227" s="12">
        <v>0</v>
      </c>
    </row>
    <row r="228" spans="1:13" x14ac:dyDescent="0.25">
      <c r="A228">
        <v>226</v>
      </c>
      <c r="B228" s="38" t="s">
        <v>1016</v>
      </c>
      <c r="C228" s="42">
        <v>0</v>
      </c>
      <c r="D228" s="11">
        <v>255</v>
      </c>
      <c r="E228" s="11">
        <v>255</v>
      </c>
      <c r="F228" s="11">
        <v>0</v>
      </c>
      <c r="G228" s="11">
        <v>0</v>
      </c>
      <c r="H228" s="11">
        <v>0</v>
      </c>
      <c r="I228" s="11">
        <v>0</v>
      </c>
      <c r="J228" s="11">
        <v>255</v>
      </c>
      <c r="K228" s="11">
        <v>255</v>
      </c>
      <c r="L228" s="11">
        <v>0</v>
      </c>
      <c r="M228" s="12">
        <v>0</v>
      </c>
    </row>
    <row r="229" spans="1:13" x14ac:dyDescent="0.25">
      <c r="A229">
        <v>227</v>
      </c>
      <c r="B229" s="38" t="s">
        <v>1017</v>
      </c>
      <c r="C229" s="42">
        <v>0</v>
      </c>
      <c r="D229" s="11">
        <v>255</v>
      </c>
      <c r="E229" s="11">
        <v>255</v>
      </c>
      <c r="F229" s="11">
        <v>0</v>
      </c>
      <c r="G229" s="11">
        <v>0</v>
      </c>
      <c r="H229" s="11">
        <v>255</v>
      </c>
      <c r="I229" s="11">
        <v>255</v>
      </c>
      <c r="J229" s="11">
        <v>0</v>
      </c>
      <c r="K229" s="11">
        <v>0</v>
      </c>
      <c r="L229" s="11">
        <v>255</v>
      </c>
      <c r="M229" s="12">
        <v>255</v>
      </c>
    </row>
    <row r="230" spans="1:13" x14ac:dyDescent="0.25">
      <c r="A230">
        <v>228</v>
      </c>
      <c r="B230" s="38" t="s">
        <v>1018</v>
      </c>
      <c r="C230" s="42">
        <v>0</v>
      </c>
      <c r="D230" s="11">
        <v>255</v>
      </c>
      <c r="E230" s="11">
        <v>255</v>
      </c>
      <c r="F230" s="11">
        <v>0</v>
      </c>
      <c r="G230" s="11">
        <v>0</v>
      </c>
      <c r="H230" s="11">
        <v>255</v>
      </c>
      <c r="I230" s="11">
        <v>255</v>
      </c>
      <c r="J230" s="11">
        <v>0</v>
      </c>
      <c r="K230" s="11">
        <v>0</v>
      </c>
      <c r="L230" s="11">
        <v>255</v>
      </c>
      <c r="M230" s="12">
        <v>255</v>
      </c>
    </row>
    <row r="231" spans="1:13" x14ac:dyDescent="0.25">
      <c r="A231">
        <v>229</v>
      </c>
      <c r="B231" s="38" t="s">
        <v>1019</v>
      </c>
      <c r="C231" s="42">
        <v>0</v>
      </c>
      <c r="D231" s="11">
        <v>7</v>
      </c>
      <c r="E231" s="11">
        <v>255</v>
      </c>
      <c r="F231" s="11">
        <v>255</v>
      </c>
      <c r="G231" s="11">
        <v>192</v>
      </c>
      <c r="H231" s="11">
        <v>192</v>
      </c>
      <c r="I231" s="11">
        <v>192</v>
      </c>
      <c r="J231" s="11">
        <v>128</v>
      </c>
      <c r="K231" s="11">
        <v>0</v>
      </c>
      <c r="L231" s="11">
        <v>0</v>
      </c>
      <c r="M231" s="12">
        <v>0</v>
      </c>
    </row>
    <row r="232" spans="1:13" x14ac:dyDescent="0.25">
      <c r="A232">
        <v>230</v>
      </c>
      <c r="B232" s="38" t="s">
        <v>1020</v>
      </c>
      <c r="C232" s="42">
        <v>0</v>
      </c>
      <c r="D232" s="11">
        <v>255</v>
      </c>
      <c r="E232" s="11">
        <v>255</v>
      </c>
      <c r="F232" s="11">
        <v>192</v>
      </c>
      <c r="G232" s="11">
        <v>192</v>
      </c>
      <c r="H232" s="11">
        <v>192</v>
      </c>
      <c r="I232" s="11">
        <v>128</v>
      </c>
      <c r="J232" s="11">
        <v>0</v>
      </c>
      <c r="K232" s="11">
        <v>0</v>
      </c>
      <c r="L232" s="11">
        <v>255</v>
      </c>
      <c r="M232" s="12">
        <v>255</v>
      </c>
    </row>
    <row r="233" spans="1:13" x14ac:dyDescent="0.25">
      <c r="A233">
        <v>231</v>
      </c>
      <c r="B233" s="38" t="s">
        <v>1021</v>
      </c>
      <c r="C233" s="42">
        <v>0</v>
      </c>
      <c r="D233" s="11">
        <v>255</v>
      </c>
      <c r="E233" s="11">
        <v>255</v>
      </c>
      <c r="F233" s="11">
        <v>96</v>
      </c>
      <c r="G233" s="11">
        <v>96</v>
      </c>
      <c r="H233" s="11">
        <v>96</v>
      </c>
      <c r="I233" s="11">
        <v>224</v>
      </c>
      <c r="J233" s="11">
        <v>192</v>
      </c>
      <c r="K233" s="11">
        <v>128</v>
      </c>
      <c r="L233" s="11">
        <v>0</v>
      </c>
      <c r="M233" s="12">
        <v>0</v>
      </c>
    </row>
    <row r="234" spans="1:13" x14ac:dyDescent="0.25">
      <c r="A234">
        <v>232</v>
      </c>
      <c r="B234" s="38" t="s">
        <v>1022</v>
      </c>
      <c r="C234" s="42">
        <v>0</v>
      </c>
      <c r="D234" s="11">
        <v>12</v>
      </c>
      <c r="E234" s="11">
        <v>14</v>
      </c>
      <c r="F234" s="11">
        <v>7</v>
      </c>
      <c r="G234" s="11">
        <v>131</v>
      </c>
      <c r="H234" s="11">
        <v>131</v>
      </c>
      <c r="I234" s="11">
        <v>135</v>
      </c>
      <c r="J234" s="11">
        <v>254</v>
      </c>
      <c r="K234" s="11">
        <v>252</v>
      </c>
      <c r="L234" s="11">
        <v>0</v>
      </c>
      <c r="M234" s="12">
        <v>0</v>
      </c>
    </row>
    <row r="235" spans="1:13" x14ac:dyDescent="0.25">
      <c r="A235">
        <v>233</v>
      </c>
      <c r="B235" s="38" t="s">
        <v>1023</v>
      </c>
      <c r="C235" s="42">
        <v>0</v>
      </c>
      <c r="D235" s="11">
        <v>255</v>
      </c>
      <c r="E235" s="11">
        <v>255</v>
      </c>
      <c r="F235" s="11">
        <v>128</v>
      </c>
      <c r="G235" s="11">
        <v>252</v>
      </c>
      <c r="H235" s="11">
        <v>254</v>
      </c>
      <c r="I235" s="11">
        <v>7</v>
      </c>
      <c r="J235" s="11">
        <v>3</v>
      </c>
      <c r="K235" s="11">
        <v>7</v>
      </c>
      <c r="L235" s="11">
        <v>254</v>
      </c>
      <c r="M235" s="12">
        <v>252</v>
      </c>
    </row>
    <row r="236" spans="1:13" x14ac:dyDescent="0.25">
      <c r="A236">
        <v>234</v>
      </c>
      <c r="B236" s="38" t="s">
        <v>1024</v>
      </c>
      <c r="C236" s="42">
        <v>0</v>
      </c>
      <c r="D236" s="11">
        <v>252</v>
      </c>
      <c r="E236" s="11">
        <v>254</v>
      </c>
      <c r="F236" s="11">
        <v>135</v>
      </c>
      <c r="G236" s="11">
        <v>3</v>
      </c>
      <c r="H236" s="11">
        <v>3</v>
      </c>
      <c r="I236" s="11">
        <v>3</v>
      </c>
      <c r="J236" s="11">
        <v>255</v>
      </c>
      <c r="K236" s="11">
        <v>255</v>
      </c>
      <c r="L236" s="11">
        <v>0</v>
      </c>
      <c r="M236" s="12">
        <v>0</v>
      </c>
    </row>
    <row r="237" spans="1:13" x14ac:dyDescent="0.25">
      <c r="A237">
        <v>235</v>
      </c>
      <c r="B237" s="38" t="s">
        <v>1025</v>
      </c>
      <c r="C237" s="42">
        <v>0</v>
      </c>
      <c r="D237" s="11">
        <v>192</v>
      </c>
      <c r="E237" s="11">
        <v>224</v>
      </c>
      <c r="F237" s="11">
        <v>112</v>
      </c>
      <c r="G237" s="11">
        <v>48</v>
      </c>
      <c r="H237" s="11">
        <v>112</v>
      </c>
      <c r="I237" s="11">
        <v>240</v>
      </c>
      <c r="J237" s="11">
        <v>224</v>
      </c>
      <c r="K237" s="11">
        <v>0</v>
      </c>
      <c r="L237" s="11">
        <v>0</v>
      </c>
      <c r="M237" s="12">
        <v>0</v>
      </c>
    </row>
    <row r="238" spans="1:13" x14ac:dyDescent="0.25">
      <c r="A238">
        <v>236</v>
      </c>
      <c r="B238" s="38" t="s">
        <v>1026</v>
      </c>
      <c r="C238" s="42">
        <v>0</v>
      </c>
      <c r="D238" s="11">
        <v>240</v>
      </c>
      <c r="E238" s="11">
        <v>240</v>
      </c>
      <c r="F238" s="11">
        <v>48</v>
      </c>
      <c r="G238" s="11">
        <v>48</v>
      </c>
      <c r="H238" s="11">
        <v>48</v>
      </c>
      <c r="I238" s="11">
        <v>48</v>
      </c>
      <c r="J238" s="11">
        <v>48</v>
      </c>
      <c r="K238" s="11">
        <v>0</v>
      </c>
      <c r="L238" s="11">
        <v>0</v>
      </c>
      <c r="M238" s="12">
        <v>0</v>
      </c>
    </row>
    <row r="239" spans="1:13" x14ac:dyDescent="0.25">
      <c r="A239">
        <v>237</v>
      </c>
      <c r="B239" s="38" t="s">
        <v>1027</v>
      </c>
      <c r="C239" s="42">
        <v>0</v>
      </c>
      <c r="D239" s="11">
        <v>240</v>
      </c>
      <c r="E239" s="11">
        <v>240</v>
      </c>
      <c r="F239" s="11">
        <v>48</v>
      </c>
      <c r="G239" s="11">
        <v>112</v>
      </c>
      <c r="H239" s="11">
        <v>224</v>
      </c>
      <c r="I239" s="11">
        <v>192</v>
      </c>
      <c r="J239" s="11">
        <v>0</v>
      </c>
      <c r="K239" s="11">
        <v>0</v>
      </c>
      <c r="L239" s="11">
        <v>0</v>
      </c>
      <c r="M239" s="12">
        <v>0</v>
      </c>
    </row>
    <row r="240" spans="1:13" x14ac:dyDescent="0.25">
      <c r="A240">
        <v>238</v>
      </c>
      <c r="B240" s="38" t="s">
        <v>1028</v>
      </c>
      <c r="C240" s="42">
        <v>0</v>
      </c>
      <c r="D240" s="11">
        <v>240</v>
      </c>
      <c r="E240" s="11">
        <v>240</v>
      </c>
      <c r="F240" s="11">
        <v>48</v>
      </c>
      <c r="G240" s="11">
        <v>48</v>
      </c>
      <c r="H240" s="11">
        <v>112</v>
      </c>
      <c r="I240" s="11">
        <v>112</v>
      </c>
      <c r="J240" s="11">
        <v>0</v>
      </c>
      <c r="K240" s="11">
        <v>0</v>
      </c>
      <c r="L240" s="11">
        <v>0</v>
      </c>
      <c r="M240" s="12">
        <v>0</v>
      </c>
    </row>
    <row r="241" spans="1:13" x14ac:dyDescent="0.25">
      <c r="A241">
        <v>239</v>
      </c>
      <c r="B241" s="38" t="s">
        <v>1029</v>
      </c>
      <c r="C241" s="42">
        <v>0</v>
      </c>
      <c r="D241" s="11">
        <v>0</v>
      </c>
      <c r="E241" s="11">
        <v>128</v>
      </c>
      <c r="F241" s="11">
        <v>192</v>
      </c>
      <c r="G241" s="11">
        <v>224</v>
      </c>
      <c r="H241" s="11">
        <v>112</v>
      </c>
      <c r="I241" s="11">
        <v>240</v>
      </c>
      <c r="J241" s="11">
        <v>240</v>
      </c>
      <c r="K241" s="11">
        <v>0</v>
      </c>
      <c r="L241" s="11">
        <v>0</v>
      </c>
      <c r="M241" s="12">
        <v>0</v>
      </c>
    </row>
    <row r="242" spans="1:13" x14ac:dyDescent="0.25">
      <c r="A242">
        <v>240</v>
      </c>
      <c r="B242" s="38" t="s">
        <v>1030</v>
      </c>
      <c r="C242" s="42">
        <v>0</v>
      </c>
      <c r="D242" s="11">
        <v>192</v>
      </c>
      <c r="E242" s="11">
        <v>224</v>
      </c>
      <c r="F242" s="11">
        <v>112</v>
      </c>
      <c r="G242" s="11">
        <v>48</v>
      </c>
      <c r="H242" s="11">
        <v>48</v>
      </c>
      <c r="I242" s="11">
        <v>112</v>
      </c>
      <c r="J242" s="11">
        <v>224</v>
      </c>
      <c r="K242" s="11">
        <v>192</v>
      </c>
      <c r="L242" s="11">
        <v>0</v>
      </c>
      <c r="M242" s="12">
        <v>0</v>
      </c>
    </row>
    <row r="243" spans="1:13" x14ac:dyDescent="0.25">
      <c r="A243">
        <v>241</v>
      </c>
      <c r="B243" s="38" t="s">
        <v>1031</v>
      </c>
      <c r="C243" s="42">
        <v>0</v>
      </c>
      <c r="D243" s="11">
        <v>112</v>
      </c>
      <c r="E243" s="11">
        <v>240</v>
      </c>
      <c r="F243" s="11">
        <v>0</v>
      </c>
      <c r="G243" s="11">
        <v>0</v>
      </c>
      <c r="H243" s="11">
        <v>240</v>
      </c>
      <c r="I243" s="11">
        <v>240</v>
      </c>
      <c r="J243" s="11">
        <v>0</v>
      </c>
      <c r="K243" s="11">
        <v>0</v>
      </c>
      <c r="L243" s="11">
        <v>240</v>
      </c>
      <c r="M243" s="12">
        <v>112</v>
      </c>
    </row>
    <row r="244" spans="1:13" x14ac:dyDescent="0.25">
      <c r="A244">
        <v>242</v>
      </c>
      <c r="B244" s="38" t="s">
        <v>1032</v>
      </c>
      <c r="C244" s="42">
        <v>0</v>
      </c>
      <c r="D244" s="11">
        <v>192</v>
      </c>
      <c r="E244" s="11">
        <v>224</v>
      </c>
      <c r="F244" s="11">
        <v>112</v>
      </c>
      <c r="G244" s="11">
        <v>48</v>
      </c>
      <c r="H244" s="11">
        <v>48</v>
      </c>
      <c r="I244" s="11">
        <v>112</v>
      </c>
      <c r="J244" s="11">
        <v>224</v>
      </c>
      <c r="K244" s="11">
        <v>192</v>
      </c>
      <c r="L244" s="11">
        <v>0</v>
      </c>
      <c r="M244" s="12">
        <v>0</v>
      </c>
    </row>
    <row r="245" spans="1:13" x14ac:dyDescent="0.25">
      <c r="A245">
        <v>243</v>
      </c>
      <c r="B245" s="38" t="s">
        <v>1033</v>
      </c>
      <c r="C245" s="42">
        <v>0</v>
      </c>
      <c r="D245" s="11">
        <v>240</v>
      </c>
      <c r="E245" s="11">
        <v>240</v>
      </c>
      <c r="F245" s="11">
        <v>0</v>
      </c>
      <c r="G245" s="11">
        <v>0</v>
      </c>
      <c r="H245" s="11">
        <v>0</v>
      </c>
      <c r="I245" s="11">
        <v>0</v>
      </c>
      <c r="J245" s="11">
        <v>240</v>
      </c>
      <c r="K245" s="11">
        <v>240</v>
      </c>
      <c r="L245" s="11">
        <v>0</v>
      </c>
      <c r="M245" s="12">
        <v>0</v>
      </c>
    </row>
    <row r="246" spans="1:13" x14ac:dyDescent="0.25">
      <c r="A246">
        <v>244</v>
      </c>
      <c r="B246" s="38" t="s">
        <v>1034</v>
      </c>
      <c r="C246" s="42">
        <v>0</v>
      </c>
      <c r="D246" s="11">
        <v>224</v>
      </c>
      <c r="E246" s="11">
        <v>224</v>
      </c>
      <c r="F246" s="11">
        <v>0</v>
      </c>
      <c r="G246" s="11">
        <v>48</v>
      </c>
      <c r="H246" s="11">
        <v>48</v>
      </c>
      <c r="I246" s="11">
        <v>0</v>
      </c>
      <c r="J246" s="11">
        <v>224</v>
      </c>
      <c r="K246" s="11">
        <v>224</v>
      </c>
      <c r="L246" s="11">
        <v>0</v>
      </c>
      <c r="M246" s="12">
        <v>0</v>
      </c>
    </row>
    <row r="247" spans="1:13" x14ac:dyDescent="0.25">
      <c r="A247">
        <v>245</v>
      </c>
      <c r="B247" s="38" t="s">
        <v>1035</v>
      </c>
      <c r="C247" s="42">
        <v>0</v>
      </c>
      <c r="D247" s="11">
        <v>240</v>
      </c>
      <c r="E247" s="11">
        <v>240</v>
      </c>
      <c r="F247" s="11">
        <v>0</v>
      </c>
      <c r="G247" s="11">
        <v>0</v>
      </c>
      <c r="H247" s="11">
        <v>128</v>
      </c>
      <c r="I247" s="11">
        <v>192</v>
      </c>
      <c r="J247" s="11">
        <v>112</v>
      </c>
      <c r="K247" s="11">
        <v>48</v>
      </c>
      <c r="L247" s="11">
        <v>0</v>
      </c>
      <c r="M247" s="12">
        <v>0</v>
      </c>
    </row>
    <row r="248" spans="1:13" x14ac:dyDescent="0.25">
      <c r="A248">
        <v>246</v>
      </c>
      <c r="B248" s="38" t="s">
        <v>1036</v>
      </c>
      <c r="C248" s="42">
        <v>0</v>
      </c>
      <c r="D248" s="11">
        <v>0</v>
      </c>
      <c r="E248" s="11">
        <v>0</v>
      </c>
      <c r="F248" s="11">
        <v>0</v>
      </c>
      <c r="G248" s="11">
        <v>0</v>
      </c>
      <c r="H248" s="11">
        <v>192</v>
      </c>
      <c r="I248" s="11">
        <v>112</v>
      </c>
      <c r="J248" s="11">
        <v>240</v>
      </c>
      <c r="K248" s="11">
        <v>240</v>
      </c>
      <c r="L248" s="11">
        <v>0</v>
      </c>
      <c r="M248" s="12">
        <v>0</v>
      </c>
    </row>
    <row r="249" spans="1:13" x14ac:dyDescent="0.25">
      <c r="A249">
        <v>247</v>
      </c>
      <c r="B249" s="38" t="s">
        <v>1037</v>
      </c>
      <c r="C249" s="42">
        <v>0</v>
      </c>
      <c r="D249" s="11">
        <v>240</v>
      </c>
      <c r="E249" s="11">
        <v>240</v>
      </c>
      <c r="F249" s="11">
        <v>128</v>
      </c>
      <c r="G249" s="11">
        <v>0</v>
      </c>
      <c r="H249" s="11">
        <v>0</v>
      </c>
      <c r="I249" s="11">
        <v>0</v>
      </c>
      <c r="J249" s="11">
        <v>0</v>
      </c>
      <c r="K249" s="11">
        <v>128</v>
      </c>
      <c r="L249" s="11">
        <v>240</v>
      </c>
      <c r="M249" s="12">
        <v>240</v>
      </c>
    </row>
    <row r="250" spans="1:13" x14ac:dyDescent="0.25">
      <c r="A250">
        <v>248</v>
      </c>
      <c r="B250" s="38" t="s">
        <v>1038</v>
      </c>
      <c r="C250" s="42">
        <v>0</v>
      </c>
      <c r="D250" s="11">
        <v>240</v>
      </c>
      <c r="E250" s="11">
        <v>240</v>
      </c>
      <c r="F250" s="11">
        <v>0</v>
      </c>
      <c r="G250" s="11">
        <v>0</v>
      </c>
      <c r="H250" s="11">
        <v>0</v>
      </c>
      <c r="I250" s="11">
        <v>0</v>
      </c>
      <c r="J250" s="11">
        <v>240</v>
      </c>
      <c r="K250" s="11">
        <v>240</v>
      </c>
      <c r="L250" s="11">
        <v>0</v>
      </c>
      <c r="M250" s="12">
        <v>0</v>
      </c>
    </row>
    <row r="251" spans="1:13" x14ac:dyDescent="0.25">
      <c r="A251">
        <v>249</v>
      </c>
      <c r="B251" s="38" t="s">
        <v>1039</v>
      </c>
      <c r="C251" s="42">
        <v>0</v>
      </c>
      <c r="D251" s="11">
        <v>192</v>
      </c>
      <c r="E251" s="11">
        <v>224</v>
      </c>
      <c r="F251" s="11">
        <v>112</v>
      </c>
      <c r="G251" s="11">
        <v>48</v>
      </c>
      <c r="H251" s="11">
        <v>48</v>
      </c>
      <c r="I251" s="11">
        <v>112</v>
      </c>
      <c r="J251" s="11">
        <v>224</v>
      </c>
      <c r="K251" s="11">
        <v>192</v>
      </c>
      <c r="L251" s="11">
        <v>0</v>
      </c>
      <c r="M251" s="12">
        <v>0</v>
      </c>
    </row>
    <row r="252" spans="1:13" x14ac:dyDescent="0.25">
      <c r="A252">
        <v>250</v>
      </c>
      <c r="B252" s="38" t="s">
        <v>1040</v>
      </c>
      <c r="C252" s="42">
        <v>0</v>
      </c>
      <c r="D252" s="11">
        <v>240</v>
      </c>
      <c r="E252" s="11">
        <v>240</v>
      </c>
      <c r="F252" s="11">
        <v>48</v>
      </c>
      <c r="G252" s="11">
        <v>48</v>
      </c>
      <c r="H252" s="11">
        <v>48</v>
      </c>
      <c r="I252" s="11">
        <v>48</v>
      </c>
      <c r="J252" s="11">
        <v>240</v>
      </c>
      <c r="K252" s="11">
        <v>240</v>
      </c>
      <c r="L252" s="11">
        <v>0</v>
      </c>
      <c r="M252" s="12">
        <v>0</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Work Sheet</vt:lpstr>
      <vt:lpstr>MD_MAX Default</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Proportional Single</vt:lpstr>
      <vt:lpstr>Russian Proportional Double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2017-05-30T05:13:21Z</dcterms:modified>
</cp:coreProperties>
</file>