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Std Proportional Double" sheetId="14" r:id="rId6"/>
    <sheet name="7 Segment Fixed Single" sheetId="13" r:id="rId7"/>
    <sheet name="7 Segment Fixed Double" sheetId="15" r:id="rId8"/>
    <sheet name="Misc Symbols" sheetId="3" r:id="rId9"/>
    <sheet name="Arabic" sheetId="4" r:id="rId10"/>
    <sheet name="5x7 LCD font" sheetId="6" r:id="rId11"/>
    <sheet name="Katakana" sheetId="7" r:id="rId12"/>
    <sheet name="Greek" sheetId="11" r:id="rId13"/>
    <sheet name="Modern Arabic" sheetId="12" r:id="rId14"/>
  </sheets>
  <calcPr calcId="152511"/>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Q138" i="1"/>
  <c r="R138" i="1" s="1"/>
  <c r="Q134" i="1"/>
  <c r="Q129" i="1"/>
  <c r="Q125" i="1"/>
  <c r="Q121" i="1"/>
  <c r="R121" i="1" s="1"/>
  <c r="Q117" i="1"/>
  <c r="Q113" i="1"/>
  <c r="Q109" i="1"/>
  <c r="Q105" i="1"/>
  <c r="R105" i="1" s="1"/>
  <c r="Q101" i="1"/>
  <c r="R101" i="1" s="1"/>
  <c r="Q97" i="1"/>
  <c r="Q93" i="1"/>
  <c r="R93" i="1" s="1"/>
  <c r="Q89" i="1"/>
  <c r="R89" i="1" s="1"/>
  <c r="Q85" i="1"/>
  <c r="Q81" i="1"/>
  <c r="Q77" i="1"/>
  <c r="Q73" i="1"/>
  <c r="R73" i="1" s="1"/>
  <c r="Q69" i="1"/>
  <c r="R69" i="1" s="1"/>
  <c r="Q65" i="1"/>
  <c r="Q61" i="1"/>
  <c r="R61" i="1" s="1"/>
  <c r="Q57" i="1"/>
  <c r="R57" i="1" s="1"/>
  <c r="Q53" i="1"/>
  <c r="R53" i="1" s="1"/>
  <c r="Q49" i="1"/>
  <c r="Q45" i="1"/>
  <c r="R45" i="1" s="1"/>
  <c r="Q41" i="1"/>
  <c r="R41" i="1" s="1"/>
  <c r="Q37" i="1"/>
  <c r="Q33" i="1"/>
  <c r="Q29" i="1"/>
  <c r="Q25" i="1"/>
  <c r="R25" i="1" s="1"/>
  <c r="Q21" i="1"/>
  <c r="Q17" i="1"/>
  <c r="Q13" i="1"/>
  <c r="R13" i="1" s="1"/>
  <c r="Q9" i="1"/>
  <c r="R9" i="1" s="1"/>
  <c r="Q5" i="1"/>
  <c r="R129" i="1"/>
  <c r="Q257" i="1"/>
  <c r="R257" i="1" s="1"/>
  <c r="R125" i="1"/>
  <c r="Q253" i="1"/>
  <c r="R253" i="1" s="1"/>
  <c r="Q249" i="1"/>
  <c r="R249" i="1" s="1"/>
  <c r="R117" i="1"/>
  <c r="Q245" i="1"/>
  <c r="R245" i="1" s="1"/>
  <c r="R113" i="1"/>
  <c r="Q241" i="1"/>
  <c r="R241" i="1" s="1"/>
  <c r="R109" i="1"/>
  <c r="Q237" i="1"/>
  <c r="R237" i="1" s="1"/>
  <c r="Q233" i="1"/>
  <c r="R233" i="1" s="1"/>
  <c r="Q229" i="1"/>
  <c r="R229" i="1" s="1"/>
  <c r="R97" i="1"/>
  <c r="Q225" i="1"/>
  <c r="R225" i="1" s="1"/>
  <c r="Q221" i="1"/>
  <c r="R221" i="1" s="1"/>
  <c r="Q217" i="1"/>
  <c r="R217" i="1" s="1"/>
  <c r="R85" i="1"/>
  <c r="Q213" i="1"/>
  <c r="R213" i="1" s="1"/>
  <c r="R81" i="1"/>
  <c r="Q209" i="1"/>
  <c r="R209" i="1" s="1"/>
  <c r="R77" i="1"/>
  <c r="Q205" i="1"/>
  <c r="R205" i="1" s="1"/>
  <c r="Q201" i="1"/>
  <c r="R201" i="1" s="1"/>
  <c r="Q197" i="1"/>
  <c r="R197" i="1" s="1"/>
  <c r="R65" i="1"/>
  <c r="Q193" i="1"/>
  <c r="R193" i="1" s="1"/>
  <c r="Q189" i="1"/>
  <c r="R189" i="1" s="1"/>
  <c r="Q185" i="1"/>
  <c r="R185" i="1" s="1"/>
  <c r="Q181" i="1"/>
  <c r="R181" i="1" s="1"/>
  <c r="R49" i="1"/>
  <c r="Q177" i="1"/>
  <c r="R177" i="1" s="1"/>
  <c r="Q173" i="1"/>
  <c r="R173" i="1" s="1"/>
  <c r="Q169" i="1"/>
  <c r="R169" i="1" s="1"/>
  <c r="Q160" i="1"/>
  <c r="R37" i="1"/>
  <c r="Q165" i="1"/>
  <c r="R165" i="1" s="1"/>
  <c r="R33" i="1"/>
  <c r="Q161" i="1"/>
  <c r="R161" i="1" s="1"/>
  <c r="R29" i="1"/>
  <c r="Q157" i="1"/>
  <c r="R157" i="1" s="1"/>
  <c r="Q153" i="1"/>
  <c r="R153" i="1" s="1"/>
  <c r="R21" i="1"/>
  <c r="Q149" i="1"/>
  <c r="R149" i="1" s="1"/>
  <c r="R17" i="1"/>
  <c r="Q145" i="1"/>
  <c r="R145" i="1" s="1"/>
  <c r="Q141" i="1"/>
  <c r="R141" i="1" s="1"/>
  <c r="Q137" i="1"/>
  <c r="R137" i="1" s="1"/>
  <c r="R5" i="1"/>
  <c r="Q133" i="1"/>
  <c r="Q128" i="1"/>
  <c r="R128" i="1" s="1"/>
  <c r="Q124" i="1"/>
  <c r="R124" i="1" s="1"/>
  <c r="Q120" i="1"/>
  <c r="R120" i="1" s="1"/>
  <c r="Q116" i="1"/>
  <c r="R116" i="1" s="1"/>
  <c r="Q112" i="1"/>
  <c r="R112" i="1" s="1"/>
  <c r="Q108" i="1"/>
  <c r="Q104" i="1"/>
  <c r="R104" i="1" s="1"/>
  <c r="Q100" i="1"/>
  <c r="R100" i="1" s="1"/>
  <c r="Q96" i="1"/>
  <c r="R96" i="1" s="1"/>
  <c r="Q92" i="1"/>
  <c r="R92" i="1" s="1"/>
  <c r="Q88" i="1"/>
  <c r="R88" i="1" s="1"/>
  <c r="Q84" i="1"/>
  <c r="R84" i="1" s="1"/>
  <c r="Q80" i="1"/>
  <c r="R80" i="1" s="1"/>
  <c r="Q76" i="1"/>
  <c r="Q72" i="1"/>
  <c r="R72" i="1" s="1"/>
  <c r="Q68" i="1"/>
  <c r="R68" i="1" s="1"/>
  <c r="Q64" i="1"/>
  <c r="R64" i="1" s="1"/>
  <c r="Q60" i="1"/>
  <c r="R60" i="1" s="1"/>
  <c r="Q56" i="1"/>
  <c r="R56" i="1" s="1"/>
  <c r="Q52" i="1"/>
  <c r="R52" i="1" s="1"/>
  <c r="Q48" i="1"/>
  <c r="R48" i="1" s="1"/>
  <c r="Q44" i="1"/>
  <c r="R44" i="1" s="1"/>
  <c r="Q40" i="1"/>
  <c r="R40" i="1" s="1"/>
  <c r="Q36" i="1"/>
  <c r="R36" i="1" s="1"/>
  <c r="R160" i="1"/>
  <c r="Q32" i="1"/>
  <c r="R32" i="1" s="1"/>
  <c r="Q28" i="1"/>
  <c r="R28" i="1" s="1"/>
  <c r="Q24" i="1"/>
  <c r="R24" i="1" s="1"/>
  <c r="Q20" i="1"/>
  <c r="R20" i="1" s="1"/>
  <c r="Q16" i="1"/>
  <c r="R16" i="1" s="1"/>
  <c r="Q12" i="1"/>
  <c r="Q8" i="1"/>
  <c r="R8" i="1" s="1"/>
  <c r="R132" i="1"/>
  <c r="Q4" i="1"/>
  <c r="R4" i="1" s="1"/>
  <c r="Q256" i="1"/>
  <c r="R256" i="1" s="1"/>
  <c r="Q252" i="1"/>
  <c r="Q248" i="1"/>
  <c r="R248" i="1" s="1"/>
  <c r="Q244" i="1"/>
  <c r="Q240" i="1"/>
  <c r="R240" i="1" s="1"/>
  <c r="R108" i="1"/>
  <c r="Q236" i="1"/>
  <c r="Q232" i="1"/>
  <c r="R232" i="1" s="1"/>
  <c r="Q228" i="1"/>
  <c r="Q224" i="1"/>
  <c r="R224" i="1" s="1"/>
  <c r="Q220" i="1"/>
  <c r="Q216" i="1"/>
  <c r="R216" i="1" s="1"/>
  <c r="Q212" i="1"/>
  <c r="Q208" i="1"/>
  <c r="R208" i="1" s="1"/>
  <c r="R76" i="1"/>
  <c r="Q204" i="1"/>
  <c r="Q200" i="1"/>
  <c r="R200" i="1" s="1"/>
  <c r="Q196" i="1"/>
  <c r="Q192" i="1"/>
  <c r="R192" i="1" s="1"/>
  <c r="Q188" i="1"/>
  <c r="Q184" i="1"/>
  <c r="R184" i="1" s="1"/>
  <c r="Q180" i="1"/>
  <c r="R180" i="1" s="1"/>
  <c r="Q176" i="1"/>
  <c r="Q172" i="1"/>
  <c r="R172" i="1" s="1"/>
  <c r="Q168" i="1"/>
  <c r="Q156" i="1"/>
  <c r="Q152" i="1"/>
  <c r="R152" i="1" s="1"/>
  <c r="Q148" i="1"/>
  <c r="Q144" i="1"/>
  <c r="R12"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R142" i="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AE4" i="1" s="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AE208" i="1" s="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AE232" i="1" s="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AE154" i="1" s="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31" i="1" l="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<sst xmlns="http://schemas.openxmlformats.org/spreadsheetml/2006/main" count="2188" uniqueCount="752">
  <si>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</si>
  <si>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</si>
  <si>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</si>
  <si>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</si>
  <si>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</si>
  <si>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</si>
  <si>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</si>
  <si>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</si>
  <si>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</si>
  <si>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</si>
  <si>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</si>
  <si>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</si>
  <si>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</si>
  <si>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</si>
  <si>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</si>
  <si>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</si>
  <si>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</si>
  <si>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</si>
  <si>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</si>
  <si>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</si>
  <si>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</si>
  <si>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</si>
  <si>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</si>
  <si>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</si>
  <si>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</si>
  <si>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</si>
  <si>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</si>
  <si>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</si>
  <si>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</si>
  <si>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</si>
  <si>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</si>
  <si>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</si>
  <si>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</si>
  <si>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</si>
  <si>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</si>
  <si>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</si>
  <si>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</si>
  <si>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</si>
  <si>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</si>
  <si>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</si>
  <si>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</si>
  <si>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</si>
  <si>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</si>
  <si>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</si>
  <si>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</si>
  <si>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</si>
  <si>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</si>
  <si>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</si>
  <si>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</si>
  <si>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</si>
  <si>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</si>
  <si>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</si>
  <si>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</si>
  <si>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</si>
  <si>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</si>
  <si>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</si>
  <si>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</si>
  <si>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</si>
  <si>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</si>
  <si>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</si>
  <si>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</si>
  <si>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</si>
  <si>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</si>
  <si>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</si>
  <si>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</si>
  <si>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</si>
  <si>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</si>
  <si>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</si>
  <si>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</si>
  <si>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</si>
  <si>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</si>
  <si>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</si>
  <si>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</si>
  <si>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</si>
  <si>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</si>
  <si>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</si>
  <si>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</si>
  <si>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</si>
  <si>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</si>
  <si>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</si>
  <si>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</si>
  <si>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</si>
  <si>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</si>
  <si>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</si>
  <si>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</si>
  <si>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</si>
  <si>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</si>
  <si>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</si>
  <si>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</si>
  <si>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</si>
  <si>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</si>
  <si>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</si>
  <si>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</si>
  <si>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</si>
  <si>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</si>
  <si>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</si>
  <si>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</si>
  <si>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</si>
  <si>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</si>
  <si>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</si>
  <si>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</si>
  <si>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</si>
  <si>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</si>
  <si>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</si>
  <si>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</si>
  <si>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</si>
  <si>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</si>
  <si>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</si>
  <si>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</si>
  <si>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</si>
  <si>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</si>
  <si>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</si>
  <si>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</si>
  <si>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</si>
  <si>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</si>
  <si>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</si>
  <si>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</si>
  <si>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</si>
  <si>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</si>
  <si>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</si>
  <si>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</si>
  <si>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</si>
  <si>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</si>
  <si>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</si>
  <si>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</si>
  <si>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</si>
  <si>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</si>
  <si>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</si>
  <si>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</si>
  <si>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</si>
  <si>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</si>
  <si>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</si>
  <si>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</si>
  <si>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</si>
  <si>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</si>
  <si>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</si>
  <si>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</si>
  <si>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</si>
  <si>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</si>
  <si>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</si>
  <si>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</si>
  <si>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</si>
  <si>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</si>
  <si>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</si>
  <si>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</si>
  <si>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</si>
  <si>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</si>
  <si>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</si>
  <si>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</si>
  <si>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</si>
  <si>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</si>
  <si>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</si>
  <si>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</si>
  <si>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</si>
  <si>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</si>
  <si>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</si>
  <si>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</si>
  <si>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</si>
  <si>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</si>
  <si>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</si>
  <si>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</si>
  <si>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</si>
  <si>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</si>
  <si>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</si>
  <si>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</si>
  <si>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</si>
  <si>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</si>
  <si>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</si>
  <si>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</si>
  <si>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</si>
  <si>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</si>
  <si>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</si>
  <si>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</si>
  <si>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</si>
  <si>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</si>
  <si>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</si>
  <si>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</si>
  <si>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</si>
  <si>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</si>
  <si>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</si>
  <si>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</si>
  <si>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</si>
  <si>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</si>
  <si>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</si>
  <si>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</si>
  <si>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</si>
  <si>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</si>
  <si>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</si>
  <si>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</si>
  <si>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</si>
  <si>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</si>
  <si>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</si>
  <si>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</si>
  <si>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</si>
  <si>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</si>
  <si>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</si>
  <si>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</si>
  <si>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</si>
  <si>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</si>
  <si>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</si>
  <si>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</si>
  <si>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</si>
  <si>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</si>
  <si>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</si>
  <si>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</si>
  <si>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</si>
  <si>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</si>
  <si>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</si>
  <si>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</si>
  <si>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</si>
  <si>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</si>
  <si>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</si>
  <si>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</si>
  <si>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</si>
  <si>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</si>
  <si>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</si>
  <si>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</si>
  <si>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</si>
  <si>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</si>
  <si>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</si>
  <si>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</si>
  <si>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</si>
  <si>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</si>
  <si>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</si>
  <si>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</si>
  <si>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</si>
  <si>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</si>
  <si>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</si>
  <si>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</si>
  <si>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</si>
  <si>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</si>
  <si>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</si>
  <si>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</si>
  <si>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</si>
  <si>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</si>
  <si>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</si>
  <si>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</si>
  <si>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</si>
  <si>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</si>
  <si>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</si>
  <si>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</si>
  <si>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</si>
  <si>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</si>
  <si>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</si>
  <si>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</si>
  <si>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</si>
  <si>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</si>
  <si>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</si>
  <si>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</si>
  <si>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</si>
  <si>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</si>
  <si>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</si>
  <si>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</si>
  <si>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</si>
  <si>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</si>
  <si>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</si>
  <si>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</si>
  <si>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</si>
  <si>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</si>
  <si>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</si>
  <si>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</si>
  <si>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</si>
  <si>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</si>
  <si>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</si>
  <si>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</si>
  <si>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</si>
  <si>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</si>
  <si>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</si>
  <si>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</si>
  <si>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</si>
  <si>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</si>
  <si>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</si>
  <si>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</si>
  <si>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</si>
  <si>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</si>
  <si>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</si>
  <si>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</si>
  <si>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</si>
  <si>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</si>
  <si>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</si>
  <si>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</si>
  <si>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</si>
  <si>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</si>
  <si>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</si>
  <si>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</si>
  <si>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</si>
  <si>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</si>
  <si>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</si>
  <si>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</si>
  <si>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</si>
  <si>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</si>
  <si>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</si>
  <si>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</si>
  <si>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</si>
  <si>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</si>
  <si>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</si>
  <si>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</si>
  <si>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</si>
  <si>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</si>
  <si>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</si>
  <si>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</si>
  <si>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</si>
  <si>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</si>
  <si>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</si>
  <si>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</si>
  <si>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</si>
  <si>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</si>
  <si>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</si>
  <si>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</si>
  <si>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</si>
  <si>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</si>
  <si>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</si>
  <si>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</si>
  <si>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</si>
  <si>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</si>
  <si>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</si>
  <si>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</si>
  <si>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</si>
  <si>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</si>
  <si>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</si>
  <si>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</si>
  <si>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</si>
  <si>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</si>
  <si>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</si>
  <si>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</si>
  <si>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</si>
  <si>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</si>
  <si>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</si>
  <si>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</si>
  <si>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</si>
  <si>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</si>
  <si>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</si>
  <si>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</si>
  <si>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</si>
  <si>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</si>
  <si>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</si>
  <si>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</si>
  <si>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</si>
  <si>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</si>
  <si>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</si>
  <si>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</si>
  <si>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</si>
  <si>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</si>
  <si>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</si>
  <si>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</si>
  <si>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</si>
  <si>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</si>
  <si>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</si>
  <si>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</si>
  <si>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</si>
  <si>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</si>
  <si>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</si>
  <si>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</si>
  <si>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</si>
  <si>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</si>
  <si>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</si>
  <si>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</si>
  <si>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</si>
  <si>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</si>
  <si>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</si>
  <si>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</si>
  <si>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</si>
  <si>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</si>
  <si>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</si>
  <si>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</si>
  <si>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</si>
  <si>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</si>
  <si>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</si>
  <si>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</si>
  <si>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</si>
  <si>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</si>
  <si>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</si>
  <si>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</si>
  <si>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</si>
  <si>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</si>
  <si>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</si>
  <si>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</si>
  <si>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</si>
  <si>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</si>
  <si>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</si>
  <si>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</si>
  <si>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</si>
  <si>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</si>
  <si>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</si>
  <si>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</si>
  <si>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</si>
  <si>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</si>
  <si>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</si>
  <si>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</si>
  <si>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</si>
  <si>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</si>
  <si>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</si>
  <si>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</si>
  <si>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</si>
  <si>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</si>
  <si>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</si>
  <si>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</si>
  <si>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</si>
  <si>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</si>
  <si>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</si>
  <si>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</si>
  <si>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</si>
  <si>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</si>
  <si>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</si>
  <si>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</si>
  <si>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</si>
  <si>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</si>
  <si>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</si>
  <si>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</si>
  <si>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</si>
  <si>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</si>
  <si>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</si>
  <si>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</si>
  <si>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</si>
  <si>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</si>
  <si>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</si>
  <si>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</si>
  <si>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</si>
  <si>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</si>
  <si>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</si>
  <si>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</si>
  <si>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</si>
  <si>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</si>
  <si>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</si>
  <si>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</si>
  <si>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</si>
  <si>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</si>
  <si>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</si>
  <si>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</si>
  <si>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</si>
  <si>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</si>
  <si>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</si>
  <si>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</si>
  <si>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</si>
  <si>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</si>
  <si>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</si>
  <si>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</si>
  <si>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</si>
  <si>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</si>
  <si>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</si>
  <si>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</si>
  <si>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</si>
  <si>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</si>
  <si>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</si>
  <si>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</si>
  <si>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</si>
  <si>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</si>
  <si>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</si>
  <si>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</si>
  <si>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</si>
  <si>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</si>
  <si>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</si>
  <si>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</si>
  <si>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</si>
  <si>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</si>
  <si>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</si>
  <si>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</si>
  <si>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</si>
  <si>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</si>
  <si>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</si>
  <si>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</si>
  <si>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</si>
  <si>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</si>
  <si>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</si>
  <si>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</si>
  <si>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</si>
  <si>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</si>
  <si>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</si>
  <si>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</si>
  <si>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</si>
  <si>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</si>
  <si>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</si>
  <si>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</si>
  <si>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</si>
  <si>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</si>
  <si>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</si>
  <si>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</si>
  <si>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</si>
  <si>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</si>
  <si>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</si>
  <si>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</si>
  <si>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</si>
  <si>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</si>
  <si>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</si>
  <si>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</si>
  <si>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</si>
  <si>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</si>
  <si>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</si>
  <si>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</si>
  <si>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</si>
  <si>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</si>
  <si>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</si>
  <si>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</si>
  <si>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</si>
  <si>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</si>
  <si>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</si>
  <si>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</si>
  <si>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</si>
  <si>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</si>
  <si>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</si>
  <si>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</si>
  <si>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</si>
  <si>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</si>
  <si>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</si>
  <si>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</si>
  <si>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</si>
  <si>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</si>
  <si>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</si>
  <si>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</si>
  <si>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</si>
  <si>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</si>
  <si>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</si>
  <si>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</si>
  <si>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</si>
  <si>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</si>
  <si>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</si>
  <si>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</si>
  <si>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</si>
  <si>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</si>
  <si>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</si>
  <si>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</si>
  <si>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</si>
  <si>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</si>
  <si>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</si>
  <si>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</si>
  <si>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</si>
  <si>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</si>
  <si>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</si>
  <si>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</si>
  <si>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</si>
  <si>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</si>
  <si>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</si>
  <si>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</si>
  <si>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</si>
  <si>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</si>
  <si>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</si>
  <si>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</si>
  <si>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</si>
  <si>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</si>
  <si>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</si>
  <si>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</si>
  <si>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</si>
  <si>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</si>
  <si>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</si>
  <si>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</si>
  <si>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</si>
  <si>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</si>
  <si>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</si>
  <si>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</si>
  <si>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</si>
  <si>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</si>
  <si>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</si>
  <si>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</si>
  <si>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</si>
  <si>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</si>
  <si>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</si>
  <si>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</si>
  <si>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</si>
  <si>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</si>
  <si>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</si>
  <si>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</si>
  <si>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</si>
  <si>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</si>
  <si>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</si>
  <si>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</si>
  <si>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</si>
  <si>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</si>
  <si>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</si>
  <si>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</si>
  <si>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</si>
  <si>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</si>
  <si>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</si>
  <si>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</si>
  <si>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</si>
  <si>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</si>
  <si>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</si>
  <si>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</si>
  <si>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</si>
  <si>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</si>
  <si>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</si>
  <si>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</si>
  <si>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</si>
  <si>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</si>
  <si>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</si>
  <si>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</si>
  <si>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</si>
  <si>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</si>
  <si>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</si>
  <si>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</si>
  <si>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</si>
  <si>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</si>
  <si>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</si>
  <si>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</si>
  <si>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</si>
  <si>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</si>
  <si>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</si>
  <si>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</si>
  <si>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</si>
  <si>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</si>
  <si>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</si>
  <si>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</si>
  <si>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</si>
  <si>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</si>
  <si>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</si>
  <si>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</si>
  <si>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</si>
  <si>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</si>
  <si>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</si>
  <si>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</si>
  <si>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</si>
  <si>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</si>
  <si>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</si>
  <si>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</si>
  <si>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</si>
  <si>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</si>
  <si>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</si>
  <si>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</si>
  <si>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</si>
  <si>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</si>
  <si>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</si>
  <si>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</si>
  <si>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</si>
  <si>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</si>
  <si>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</si>
  <si>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</si>
  <si>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</si>
  <si>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</si>
  <si>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</si>
  <si>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</si>
  <si>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</si>
  <si>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</si>
  <si>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</si>
  <si>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</si>
  <si>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</si>
  <si>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</si>
  <si>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</si>
  <si>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</si>
  <si>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</si>
  <si>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</si>
  <si>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</si>
  <si>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</si>
  <si>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</si>
  <si>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</si>
  <si>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</si>
  <si>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</si>
  <si>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</si>
  <si>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</si>
  <si>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</si>
  <si>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</si>
  <si>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</si>
  <si>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</si>
  <si>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</si>
  <si>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</si>
  <si>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</si>
  <si>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</si>
  <si>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</si>
  <si>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</si>
  <si>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</si>
  <si>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</si>
  <si>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</si>
  <si>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</si>
  <si>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</si>
  <si>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</si>
  <si>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</si>
  <si>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</si>
  <si>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</si>
  <si>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</si>
  <si>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</si>
  <si>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</si>
  <si>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</si>
  <si>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</si>
  <si>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</si>
  <si>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</si>
  <si>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</si>
  <si>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</si>
  <si>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</si>
  <si>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</si>
  <si>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</si>
  <si>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</si>
  <si>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</si>
  <si>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</si>
  <si>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</si>
  <si>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</si>
  <si>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</si>
  <si>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</si>
  <si>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</si>
  <si>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</si>
  <si>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</si>
  <si>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</si>
  <si>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</si>
  <si>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</si>
  <si>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</si>
  <si>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</si>
  <si>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</si>
  <si>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</si>
  <si>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</si>
  <si>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</si>
  <si>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</si>
  <si>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</si>
  <si>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</si>
  <si>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</si>
  <si>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</si>
  <si>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</si>
  <si>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</si>
  <si>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</si>
  <si>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</si>
  <si>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</si>
  <si>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</si>
  <si>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</si>
  <si>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</si>
  <si>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</si>
  <si>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</si>
  <si>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</si>
  <si>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</si>
  <si>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</si>
  <si>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</si>
  <si>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</si>
  <si>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</si>
  <si>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</si>
  <si>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</si>
  <si>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</si>
  <si>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</si>
  <si>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</si>
  <si>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</si>
  <si>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</si>
  <si>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</si>
  <si>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</si>
  <si>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</si>
  <si>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</si>
  <si>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</si>
  <si>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</si>
  <si>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</si>
  <si>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</si>
  <si>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</si>
  <si>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</si>
  <si>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</si>
  <si>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</si>
  <si>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</si>
  <si>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</si>
  <si>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</si>
  <si>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</si>
  <si>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The purpose of this worksheet is to simplify the coding of LED matrix font files for the MD_MAX72xx and Parola libraries. All characters are 8 or 16 pixels high and can be as wide as necessary. This tool allows up to 10 columns.</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</si>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</sst>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3">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751</v>
      </c>
    </row>
    <row r="2" spans="1:1" s="56" customFormat="1" x14ac:dyDescent="0.25">
      <c r="A2" s="55"/>
    </row>
    <row r="3" spans="1:1" ht="18.75" x14ac:dyDescent="0.3">
      <c r="A3" s="52" t="s">
        <v>274</v>
      </c>
    </row>
    <row r="4" spans="1:1" ht="30" x14ac:dyDescent="0.25">
      <c r="A4" s="53" t="s">
        <v>741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745</v>
      </c>
    </row>
    <row r="21" spans="1:1" ht="45" x14ac:dyDescent="0.25">
      <c r="A21" s="53" t="s">
        <v>744</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746</v>
      </c>
    </row>
    <row r="29" spans="1:1" ht="18.75" x14ac:dyDescent="0.3">
      <c r="A29" s="52" t="s">
        <v>278</v>
      </c>
    </row>
    <row r="30" spans="1:1" ht="45" x14ac:dyDescent="0.25">
      <c r="A30" s="53" t="s">
        <v>747</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748</v>
      </c>
    </row>
    <row r="66" spans="1:1" ht="60" x14ac:dyDescent="0.25">
      <c r="A66" s="53" t="s">
        <v>749</v>
      </c>
    </row>
    <row r="67" spans="1:1" x14ac:dyDescent="0.25">
      <c r="A67" s="53" t="s">
        <v>334</v>
      </c>
    </row>
    <row r="69" spans="1:1" ht="18.75" x14ac:dyDescent="0.3">
      <c r="A69" s="52" t="s">
        <v>284</v>
      </c>
    </row>
    <row r="70" spans="1:1" ht="45" x14ac:dyDescent="0.25">
      <c r="A70" s="53" t="s">
        <v>750</v>
      </c>
    </row>
    <row r="98" spans="1:1" x14ac:dyDescent="0.25">
      <c r="A98" s="53" t="s">
        <v>285</v>
      </c>
    </row>
    <row r="99" spans="1:1" ht="30" x14ac:dyDescent="0.25">
      <c r="A99" s="5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K9" sqref="K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6"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743</v>
      </c>
      <c r="Q3" s="8" t="s">
        <v>742</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IF($R4&gt;=S$3,", "&amp;E4,"")</f>
        <v/>
      </c>
      <c r="T4" s="8" t="str">
        <f>IF($R4&gt;=T$3,", "&amp;F4,"")</f>
        <v/>
      </c>
      <c r="U4" s="8" t="str">
        <f>IF($R4&gt;=U$3,", "&amp;G4,"")</f>
        <v/>
      </c>
      <c r="V4" s="8" t="str">
        <f>IF($R4&gt;=V$3,", "&amp;H4,"")</f>
        <v/>
      </c>
      <c r="W4" s="8" t="str">
        <f>IF($R4&gt;=W$3,", "&amp;I4,"")</f>
        <v/>
      </c>
      <c r="X4" s="8" t="str">
        <f>IF($R4&gt;=X$3,", "&amp;J4,"")</f>
        <v/>
      </c>
      <c r="Y4" s="8" t="str">
        <f>IF($R4&gt;=Y$3,", "&amp;K4,"")</f>
        <v/>
      </c>
      <c r="Z4" s="8" t="str">
        <f>IF($R4&gt;=Z$3,", "&amp;L4,"")</f>
        <v/>
      </c>
      <c r="AA4" s="8" t="str">
        <f>IF($R4&gt;=AA$3,", "&amp;M4,"")</f>
        <v/>
      </c>
      <c r="AB4" s="8" t="str">
        <f>IF($R4&gt;=AB$3,", "&amp;N4,"")</f>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0">IF(D5&lt;&gt;0,D5,IF(N5&lt;&gt;0,10,IF(M5&lt;&gt;0,9,IF(L5&lt;&gt;0,8,IF(K5&lt;&gt;0,7,IF(J5&lt;&gt;0,6,IF(I5&lt;&gt;0,5,IF(H5&lt;&gt;0,4,IF(G5&lt;&gt;0,3,IF(F5&lt;&gt;0,2,IF(E5&lt;&gt;0,1,0)))))))))))</f>
        <v>5</v>
      </c>
      <c r="Q5" s="4">
        <f t="shared" ref="Q5:Q68" si="1">IF($Q$2,P133,0)</f>
        <v>0</v>
      </c>
      <c r="R5" s="4">
        <f t="shared" ref="R5:R68" si="2">MAX(P5:Q5)</f>
        <v>5</v>
      </c>
      <c r="S5" s="8" t="str">
        <f t="shared" ref="S5:S68" si="3">IF($R5&gt;=S$3,", "&amp;E5,"")</f>
        <v>, 62</v>
      </c>
      <c r="T5" s="8" t="str">
        <f t="shared" ref="T5:T68" si="4">IF($R5&gt;=T$3,", "&amp;F5,"")</f>
        <v>, 91</v>
      </c>
      <c r="U5" s="8" t="str">
        <f t="shared" ref="U5:U68" si="5">IF($R5&gt;=U$3,", "&amp;G5,"")</f>
        <v>, 79</v>
      </c>
      <c r="V5" s="8" t="str">
        <f t="shared" ref="V5:V68" si="6">IF($R5&gt;=V$3,", "&amp;H5,"")</f>
        <v>, 91</v>
      </c>
      <c r="W5" s="8" t="str">
        <f t="shared" ref="W5:W68" si="7">IF($R5&gt;=W$3,", "&amp;I5,"")</f>
        <v>, 62</v>
      </c>
      <c r="X5" s="8" t="str">
        <f t="shared" ref="X5:X68" si="8">IF($R5&gt;=X$3,", "&amp;J5,"")</f>
        <v/>
      </c>
      <c r="Y5" s="8" t="str">
        <f t="shared" ref="Y5:Y68" si="9">IF($R5&gt;=Y$3,", "&amp;K5,"")</f>
        <v/>
      </c>
      <c r="Z5" s="8" t="str">
        <f t="shared" ref="Z5:Z68" si="10">IF($R5&gt;=Z$3,", "&amp;L5,"")</f>
        <v/>
      </c>
      <c r="AA5" s="8" t="str">
        <f t="shared" ref="AA5:AA68" si="11">IF($R5&gt;=AA$3,", "&amp;M5,"")</f>
        <v/>
      </c>
      <c r="AB5" s="8" t="str">
        <f t="shared" ref="AB5:AB68" si="12">IF($R5&gt;=AB$3,", "&amp;N5,"")</f>
        <v/>
      </c>
      <c r="AC5" s="5" t="str">
        <f t="shared" ref="AC5:AC68" si="13">","&amp;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0"/>
        <v>5</v>
      </c>
      <c r="Q6" s="4">
        <f t="shared" si="1"/>
        <v>0</v>
      </c>
      <c r="R6" s="4">
        <f t="shared" si="2"/>
        <v>5</v>
      </c>
      <c r="S6" s="8" t="str">
        <f t="shared" si="3"/>
        <v>, 62</v>
      </c>
      <c r="T6" s="8" t="str">
        <f t="shared" si="4"/>
        <v>, 107</v>
      </c>
      <c r="U6" s="8" t="str">
        <f t="shared" si="5"/>
        <v>, 79</v>
      </c>
      <c r="V6" s="8" t="str">
        <f t="shared" si="6"/>
        <v>, 107</v>
      </c>
      <c r="W6" s="8" t="str">
        <f t="shared" si="7"/>
        <v>, 62</v>
      </c>
      <c r="X6" s="8" t="str">
        <f t="shared" si="8"/>
        <v/>
      </c>
      <c r="Y6" s="8" t="str">
        <f t="shared" si="9"/>
        <v/>
      </c>
      <c r="Z6" s="8" t="str">
        <f t="shared" si="10"/>
        <v/>
      </c>
      <c r="AA6" s="8" t="str">
        <f t="shared" si="11"/>
        <v/>
      </c>
      <c r="AB6" s="8" t="str">
        <f t="shared" si="12"/>
        <v/>
      </c>
      <c r="AC6" s="5" t="str">
        <f t="shared" si="13"/>
        <v>,		// 2 - 'Happy Smiley'</v>
      </c>
      <c r="AD6" s="4"/>
      <c r="AE6" s="31" t="str">
        <f t="shared" ref="AE6:AE69" si="14">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0"/>
        <v>5</v>
      </c>
      <c r="Q7" s="4">
        <f t="shared" si="1"/>
        <v>0</v>
      </c>
      <c r="R7" s="4">
        <f t="shared" si="2"/>
        <v>5</v>
      </c>
      <c r="S7" s="8" t="str">
        <f t="shared" si="3"/>
        <v>, 28</v>
      </c>
      <c r="T7" s="8" t="str">
        <f t="shared" si="4"/>
        <v>, 62</v>
      </c>
      <c r="U7" s="8" t="str">
        <f t="shared" si="5"/>
        <v>, 124</v>
      </c>
      <c r="V7" s="8" t="str">
        <f t="shared" si="6"/>
        <v>, 62</v>
      </c>
      <c r="W7" s="8" t="str">
        <f t="shared" si="7"/>
        <v>, 28</v>
      </c>
      <c r="X7" s="8" t="str">
        <f t="shared" si="8"/>
        <v/>
      </c>
      <c r="Y7" s="8" t="str">
        <f t="shared" si="9"/>
        <v/>
      </c>
      <c r="Z7" s="8" t="str">
        <f t="shared" si="10"/>
        <v/>
      </c>
      <c r="AA7" s="8" t="str">
        <f t="shared" si="11"/>
        <v/>
      </c>
      <c r="AB7" s="8" t="str">
        <f t="shared" si="12"/>
        <v/>
      </c>
      <c r="AC7" s="5" t="str">
        <f t="shared" si="13"/>
        <v>,		// 3 - 'Heart'</v>
      </c>
      <c r="AD7" s="4"/>
      <c r="AE7" s="31" t="str">
        <f t="shared" si="14"/>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0"/>
        <v>5</v>
      </c>
      <c r="Q8" s="4">
        <f t="shared" si="1"/>
        <v>0</v>
      </c>
      <c r="R8" s="4">
        <f t="shared" si="2"/>
        <v>5</v>
      </c>
      <c r="S8" s="8" t="str">
        <f t="shared" si="3"/>
        <v>, 24</v>
      </c>
      <c r="T8" s="8" t="str">
        <f t="shared" si="4"/>
        <v>, 60</v>
      </c>
      <c r="U8" s="8" t="str">
        <f t="shared" si="5"/>
        <v>, 126</v>
      </c>
      <c r="V8" s="8" t="str">
        <f t="shared" si="6"/>
        <v>, 60</v>
      </c>
      <c r="W8" s="8" t="str">
        <f t="shared" si="7"/>
        <v>, 24</v>
      </c>
      <c r="X8" s="8" t="str">
        <f t="shared" si="8"/>
        <v/>
      </c>
      <c r="Y8" s="8" t="str">
        <f t="shared" si="9"/>
        <v/>
      </c>
      <c r="Z8" s="8" t="str">
        <f t="shared" si="10"/>
        <v/>
      </c>
      <c r="AA8" s="8" t="str">
        <f t="shared" si="11"/>
        <v/>
      </c>
      <c r="AB8" s="8" t="str">
        <f t="shared" si="12"/>
        <v/>
      </c>
      <c r="AC8" s="5" t="str">
        <f t="shared" si="13"/>
        <v>,		// 4 - 'Diamond'</v>
      </c>
      <c r="AD8" s="4"/>
      <c r="AE8" s="31" t="str">
        <f t="shared" si="14"/>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0"/>
        <v>5</v>
      </c>
      <c r="Q9" s="4">
        <f t="shared" si="1"/>
        <v>0</v>
      </c>
      <c r="R9" s="4">
        <f t="shared" si="2"/>
        <v>5</v>
      </c>
      <c r="S9" s="8" t="str">
        <f t="shared" si="3"/>
        <v>, 28</v>
      </c>
      <c r="T9" s="8" t="str">
        <f t="shared" si="4"/>
        <v>, 87</v>
      </c>
      <c r="U9" s="8" t="str">
        <f t="shared" si="5"/>
        <v>, 125</v>
      </c>
      <c r="V9" s="8" t="str">
        <f t="shared" si="6"/>
        <v>, 87</v>
      </c>
      <c r="W9" s="8" t="str">
        <f t="shared" si="7"/>
        <v>, 28</v>
      </c>
      <c r="X9" s="8" t="str">
        <f t="shared" si="8"/>
        <v/>
      </c>
      <c r="Y9" s="8" t="str">
        <f t="shared" si="9"/>
        <v/>
      </c>
      <c r="Z9" s="8" t="str">
        <f t="shared" si="10"/>
        <v/>
      </c>
      <c r="AA9" s="8" t="str">
        <f t="shared" si="11"/>
        <v/>
      </c>
      <c r="AB9" s="8" t="str">
        <f t="shared" si="12"/>
        <v/>
      </c>
      <c r="AC9" s="5" t="str">
        <f t="shared" si="13"/>
        <v>,		// 5 - 'Clubs'</v>
      </c>
      <c r="AD9" s="4"/>
      <c r="AE9" s="31" t="str">
        <f t="shared" si="14"/>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0"/>
        <v>5</v>
      </c>
      <c r="Q10" s="4">
        <f t="shared" si="1"/>
        <v>0</v>
      </c>
      <c r="R10" s="4">
        <f t="shared" si="2"/>
        <v>5</v>
      </c>
      <c r="S10" s="8" t="str">
        <f t="shared" si="3"/>
        <v>, 28</v>
      </c>
      <c r="T10" s="8" t="str">
        <f t="shared" si="4"/>
        <v>, 94</v>
      </c>
      <c r="U10" s="8" t="str">
        <f t="shared" si="5"/>
        <v>, 127</v>
      </c>
      <c r="V10" s="8" t="str">
        <f t="shared" si="6"/>
        <v>, 94</v>
      </c>
      <c r="W10" s="8" t="str">
        <f t="shared" si="7"/>
        <v>, 28</v>
      </c>
      <c r="X10" s="8" t="str">
        <f t="shared" si="8"/>
        <v/>
      </c>
      <c r="Y10" s="8" t="str">
        <f t="shared" si="9"/>
        <v/>
      </c>
      <c r="Z10" s="8" t="str">
        <f t="shared" si="10"/>
        <v/>
      </c>
      <c r="AA10" s="8" t="str">
        <f t="shared" si="11"/>
        <v/>
      </c>
      <c r="AB10" s="8" t="str">
        <f t="shared" si="12"/>
        <v/>
      </c>
      <c r="AC10" s="5" t="str">
        <f t="shared" si="13"/>
        <v>,		// 6 - 'Spades'</v>
      </c>
      <c r="AD10" s="4"/>
      <c r="AE10" s="31" t="str">
        <f t="shared" si="14"/>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0"/>
        <v>4</v>
      </c>
      <c r="Q11" s="4">
        <f t="shared" si="1"/>
        <v>0</v>
      </c>
      <c r="R11" s="4">
        <f t="shared" si="2"/>
        <v>4</v>
      </c>
      <c r="S11" s="8" t="str">
        <f t="shared" si="3"/>
        <v>, 0</v>
      </c>
      <c r="T11" s="8" t="str">
        <f t="shared" si="4"/>
        <v>, 24</v>
      </c>
      <c r="U11" s="8" t="str">
        <f t="shared" si="5"/>
        <v>, 60</v>
      </c>
      <c r="V11" s="8" t="str">
        <f t="shared" si="6"/>
        <v>, 24</v>
      </c>
      <c r="W11" s="8" t="str">
        <f t="shared" si="7"/>
        <v/>
      </c>
      <c r="X11" s="8" t="str">
        <f t="shared" si="8"/>
        <v/>
      </c>
      <c r="Y11" s="8" t="str">
        <f t="shared" si="9"/>
        <v/>
      </c>
      <c r="Z11" s="8" t="str">
        <f t="shared" si="10"/>
        <v/>
      </c>
      <c r="AA11" s="8" t="str">
        <f t="shared" si="11"/>
        <v/>
      </c>
      <c r="AB11" s="8" t="str">
        <f t="shared" si="12"/>
        <v/>
      </c>
      <c r="AC11" s="5" t="str">
        <f t="shared" si="13"/>
        <v>,		// 7 - 'Bullet Point'</v>
      </c>
      <c r="AD11" s="4"/>
      <c r="AE11" s="31" t="str">
        <f t="shared" si="14"/>
        <v>4, 0, 24, 60, 24,		// 7 - 'Bullet Point'</v>
      </c>
      <c r="AF11" s="4"/>
    </row>
    <row r="12" spans="1:32" x14ac:dyDescent="0.25">
      <c r="A12" s="16">
        <v>8</v>
      </c>
      <c r="B12" s="20"/>
      <c r="C12" s="38"/>
      <c r="D12" s="42">
        <v>0</v>
      </c>
      <c r="E12" s="11">
        <v>0</v>
      </c>
      <c r="F12" s="11">
        <v>0</v>
      </c>
      <c r="G12" s="11">
        <v>0</v>
      </c>
      <c r="H12" s="11">
        <v>0</v>
      </c>
      <c r="I12" s="11">
        <v>0</v>
      </c>
      <c r="J12" s="11">
        <v>0</v>
      </c>
      <c r="K12" s="11">
        <v>0</v>
      </c>
      <c r="L12" s="11">
        <v>0</v>
      </c>
      <c r="M12" s="11">
        <v>0</v>
      </c>
      <c r="N12" s="12">
        <v>0</v>
      </c>
      <c r="O12" s="4"/>
      <c r="P12" s="4">
        <f t="shared" si="0"/>
        <v>0</v>
      </c>
      <c r="Q12" s="4">
        <f t="shared" si="1"/>
        <v>0</v>
      </c>
      <c r="R12" s="4">
        <f t="shared" si="2"/>
        <v>0</v>
      </c>
      <c r="S12" s="8" t="str">
        <f t="shared" si="3"/>
        <v/>
      </c>
      <c r="T12" s="8" t="str">
        <f t="shared" si="4"/>
        <v/>
      </c>
      <c r="U12" s="8" t="str">
        <f t="shared" si="5"/>
        <v/>
      </c>
      <c r="V12" s="8" t="str">
        <f t="shared" si="6"/>
        <v/>
      </c>
      <c r="W12" s="8" t="str">
        <f t="shared" si="7"/>
        <v/>
      </c>
      <c r="X12" s="8" t="str">
        <f t="shared" si="8"/>
        <v/>
      </c>
      <c r="Y12" s="8" t="str">
        <f t="shared" si="9"/>
        <v/>
      </c>
      <c r="Z12" s="8" t="str">
        <f t="shared" si="10"/>
        <v/>
      </c>
      <c r="AA12" s="8" t="str">
        <f t="shared" si="11"/>
        <v/>
      </c>
      <c r="AB12" s="8" t="str">
        <f t="shared" si="12"/>
        <v/>
      </c>
      <c r="AC12" s="5" t="str">
        <f t="shared" si="13"/>
        <v>,		// 8</v>
      </c>
      <c r="AD12" s="4"/>
      <c r="AE12" s="31" t="str">
        <f t="shared" si="14"/>
        <v>0,		// 8</v>
      </c>
      <c r="AF12" s="4"/>
    </row>
    <row r="13" spans="1:32" x14ac:dyDescent="0.25">
      <c r="A13" s="16">
        <v>9</v>
      </c>
      <c r="B13" s="20"/>
      <c r="C13" s="38"/>
      <c r="D13" s="42">
        <v>0</v>
      </c>
      <c r="E13" s="11">
        <v>0</v>
      </c>
      <c r="F13" s="11">
        <v>0</v>
      </c>
      <c r="G13" s="11">
        <v>0</v>
      </c>
      <c r="H13" s="11">
        <v>0</v>
      </c>
      <c r="I13" s="11">
        <v>0</v>
      </c>
      <c r="J13" s="11">
        <v>0</v>
      </c>
      <c r="K13" s="11">
        <v>0</v>
      </c>
      <c r="L13" s="11">
        <v>0</v>
      </c>
      <c r="M13" s="11">
        <v>0</v>
      </c>
      <c r="N13" s="12">
        <v>0</v>
      </c>
      <c r="O13" s="4"/>
      <c r="P13" s="4">
        <f t="shared" si="0"/>
        <v>0</v>
      </c>
      <c r="Q13" s="4">
        <f t="shared" si="1"/>
        <v>0</v>
      </c>
      <c r="R13" s="4">
        <f t="shared" si="2"/>
        <v>0</v>
      </c>
      <c r="S13" s="8" t="str">
        <f t="shared" si="3"/>
        <v/>
      </c>
      <c r="T13" s="8" t="str">
        <f t="shared" si="4"/>
        <v/>
      </c>
      <c r="U13" s="8" t="str">
        <f t="shared" si="5"/>
        <v/>
      </c>
      <c r="V13" s="8" t="str">
        <f t="shared" si="6"/>
        <v/>
      </c>
      <c r="W13" s="8" t="str">
        <f t="shared" si="7"/>
        <v/>
      </c>
      <c r="X13" s="8" t="str">
        <f t="shared" si="8"/>
        <v/>
      </c>
      <c r="Y13" s="8" t="str">
        <f t="shared" si="9"/>
        <v/>
      </c>
      <c r="Z13" s="8" t="str">
        <f t="shared" si="10"/>
        <v/>
      </c>
      <c r="AA13" s="8" t="str">
        <f t="shared" si="11"/>
        <v/>
      </c>
      <c r="AB13" s="8" t="str">
        <f t="shared" si="12"/>
        <v/>
      </c>
      <c r="AC13" s="5" t="str">
        <f t="shared" si="13"/>
        <v>,		// 9</v>
      </c>
      <c r="AD13" s="4"/>
      <c r="AE13" s="31" t="str">
        <f t="shared" si="14"/>
        <v>0,		// 9</v>
      </c>
      <c r="AF13" s="4"/>
    </row>
    <row r="14" spans="1:32" x14ac:dyDescent="0.25">
      <c r="A14" s="16">
        <v>10</v>
      </c>
      <c r="B14" s="20"/>
      <c r="C14" s="38"/>
      <c r="D14" s="42">
        <v>0</v>
      </c>
      <c r="E14" s="11">
        <v>0</v>
      </c>
      <c r="F14" s="11">
        <v>0</v>
      </c>
      <c r="G14" s="11">
        <v>0</v>
      </c>
      <c r="H14" s="11">
        <v>0</v>
      </c>
      <c r="I14" s="11">
        <v>0</v>
      </c>
      <c r="J14" s="11">
        <v>0</v>
      </c>
      <c r="K14" s="11">
        <v>0</v>
      </c>
      <c r="L14" s="11">
        <v>0</v>
      </c>
      <c r="M14" s="11">
        <v>0</v>
      </c>
      <c r="N14" s="12">
        <v>0</v>
      </c>
      <c r="O14" s="4"/>
      <c r="P14" s="4">
        <f t="shared" si="0"/>
        <v>0</v>
      </c>
      <c r="Q14" s="4">
        <f t="shared" si="1"/>
        <v>0</v>
      </c>
      <c r="R14" s="4">
        <f t="shared" si="2"/>
        <v>0</v>
      </c>
      <c r="S14" s="8" t="str">
        <f t="shared" si="3"/>
        <v/>
      </c>
      <c r="T14" s="8" t="str">
        <f t="shared" si="4"/>
        <v/>
      </c>
      <c r="U14" s="8" t="str">
        <f t="shared" si="5"/>
        <v/>
      </c>
      <c r="V14" s="8" t="str">
        <f t="shared" si="6"/>
        <v/>
      </c>
      <c r="W14" s="8" t="str">
        <f t="shared" si="7"/>
        <v/>
      </c>
      <c r="X14" s="8" t="str">
        <f t="shared" si="8"/>
        <v/>
      </c>
      <c r="Y14" s="8" t="str">
        <f t="shared" si="9"/>
        <v/>
      </c>
      <c r="Z14" s="8" t="str">
        <f t="shared" si="10"/>
        <v/>
      </c>
      <c r="AA14" s="8" t="str">
        <f t="shared" si="11"/>
        <v/>
      </c>
      <c r="AB14" s="8" t="str">
        <f t="shared" si="12"/>
        <v/>
      </c>
      <c r="AC14" s="5" t="str">
        <f t="shared" si="13"/>
        <v>,		// 10</v>
      </c>
      <c r="AD14" s="4"/>
      <c r="AE14" s="31" t="str">
        <f t="shared" si="14"/>
        <v>0,		// 10</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0"/>
        <v>5</v>
      </c>
      <c r="Q15" s="4">
        <f t="shared" si="1"/>
        <v>0</v>
      </c>
      <c r="R15" s="4">
        <f t="shared" si="2"/>
        <v>5</v>
      </c>
      <c r="S15" s="8" t="str">
        <f t="shared" si="3"/>
        <v>, 48</v>
      </c>
      <c r="T15" s="8" t="str">
        <f t="shared" si="4"/>
        <v>, 72</v>
      </c>
      <c r="U15" s="8" t="str">
        <f t="shared" si="5"/>
        <v>, 58</v>
      </c>
      <c r="V15" s="8" t="str">
        <f t="shared" si="6"/>
        <v>, 6</v>
      </c>
      <c r="W15" s="8" t="str">
        <f t="shared" si="7"/>
        <v>, 14</v>
      </c>
      <c r="X15" s="8" t="str">
        <f t="shared" si="8"/>
        <v/>
      </c>
      <c r="Y15" s="8" t="str">
        <f t="shared" si="9"/>
        <v/>
      </c>
      <c r="Z15" s="8" t="str">
        <f t="shared" si="10"/>
        <v/>
      </c>
      <c r="AA15" s="8" t="str">
        <f t="shared" si="11"/>
        <v/>
      </c>
      <c r="AB15" s="8" t="str">
        <f t="shared" si="12"/>
        <v/>
      </c>
      <c r="AC15" s="5" t="str">
        <f t="shared" si="13"/>
        <v>,		// 11 - 'Male'</v>
      </c>
      <c r="AD15" s="4"/>
      <c r="AE15" s="31" t="str">
        <f t="shared" si="14"/>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0"/>
        <v>5</v>
      </c>
      <c r="Q16" s="4">
        <f t="shared" si="1"/>
        <v>0</v>
      </c>
      <c r="R16" s="4">
        <f t="shared" si="2"/>
        <v>5</v>
      </c>
      <c r="S16" s="8" t="str">
        <f t="shared" si="3"/>
        <v>, 38</v>
      </c>
      <c r="T16" s="8" t="str">
        <f t="shared" si="4"/>
        <v>, 41</v>
      </c>
      <c r="U16" s="8" t="str">
        <f t="shared" si="5"/>
        <v>, 121</v>
      </c>
      <c r="V16" s="8" t="str">
        <f t="shared" si="6"/>
        <v>, 41</v>
      </c>
      <c r="W16" s="8" t="str">
        <f t="shared" si="7"/>
        <v>, 38</v>
      </c>
      <c r="X16" s="8" t="str">
        <f t="shared" si="8"/>
        <v/>
      </c>
      <c r="Y16" s="8" t="str">
        <f t="shared" si="9"/>
        <v/>
      </c>
      <c r="Z16" s="8" t="str">
        <f t="shared" si="10"/>
        <v/>
      </c>
      <c r="AA16" s="8" t="str">
        <f t="shared" si="11"/>
        <v/>
      </c>
      <c r="AB16" s="8" t="str">
        <f t="shared" si="12"/>
        <v/>
      </c>
      <c r="AC16" s="5" t="str">
        <f t="shared" si="13"/>
        <v>,		// 12 - 'Female'</v>
      </c>
      <c r="AD16" s="4"/>
      <c r="AE16" s="31" t="str">
        <f t="shared" si="14"/>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0"/>
        <v>5</v>
      </c>
      <c r="Q17" s="4">
        <f t="shared" si="1"/>
        <v>0</v>
      </c>
      <c r="R17" s="4">
        <f t="shared" si="2"/>
        <v>5</v>
      </c>
      <c r="S17" s="8" t="str">
        <f t="shared" si="3"/>
        <v>, 64</v>
      </c>
      <c r="T17" s="8" t="str">
        <f t="shared" si="4"/>
        <v>, 127</v>
      </c>
      <c r="U17" s="8" t="str">
        <f t="shared" si="5"/>
        <v>, 5</v>
      </c>
      <c r="V17" s="8" t="str">
        <f t="shared" si="6"/>
        <v>, 5</v>
      </c>
      <c r="W17" s="8" t="str">
        <f t="shared" si="7"/>
        <v>, 7</v>
      </c>
      <c r="X17" s="8" t="str">
        <f t="shared" si="8"/>
        <v/>
      </c>
      <c r="Y17" s="8" t="str">
        <f t="shared" si="9"/>
        <v/>
      </c>
      <c r="Z17" s="8" t="str">
        <f t="shared" si="10"/>
        <v/>
      </c>
      <c r="AA17" s="8" t="str">
        <f t="shared" si="11"/>
        <v/>
      </c>
      <c r="AB17" s="8" t="str">
        <f t="shared" si="12"/>
        <v/>
      </c>
      <c r="AC17" s="5" t="str">
        <f t="shared" si="13"/>
        <v>,		// 13 - 'Music Note 1'</v>
      </c>
      <c r="AD17" s="4"/>
      <c r="AE17" s="31" t="str">
        <f t="shared" si="14"/>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0"/>
        <v>5</v>
      </c>
      <c r="Q18" s="4">
        <f t="shared" si="1"/>
        <v>0</v>
      </c>
      <c r="R18" s="4">
        <f t="shared" si="2"/>
        <v>5</v>
      </c>
      <c r="S18" s="8" t="str">
        <f t="shared" si="3"/>
        <v>, 64</v>
      </c>
      <c r="T18" s="8" t="str">
        <f t="shared" si="4"/>
        <v>, 127</v>
      </c>
      <c r="U18" s="8" t="str">
        <f t="shared" si="5"/>
        <v>, 5</v>
      </c>
      <c r="V18" s="8" t="str">
        <f t="shared" si="6"/>
        <v>, 37</v>
      </c>
      <c r="W18" s="8" t="str">
        <f t="shared" si="7"/>
        <v>, 63</v>
      </c>
      <c r="X18" s="8" t="str">
        <f t="shared" si="8"/>
        <v/>
      </c>
      <c r="Y18" s="8" t="str">
        <f t="shared" si="9"/>
        <v/>
      </c>
      <c r="Z18" s="8" t="str">
        <f t="shared" si="10"/>
        <v/>
      </c>
      <c r="AA18" s="8" t="str">
        <f t="shared" si="11"/>
        <v/>
      </c>
      <c r="AB18" s="8" t="str">
        <f t="shared" si="12"/>
        <v/>
      </c>
      <c r="AC18" s="5" t="str">
        <f t="shared" si="13"/>
        <v>,		// 14 - 'Music Note 2'</v>
      </c>
      <c r="AD18" s="4"/>
      <c r="AE18" s="31" t="str">
        <f t="shared" si="14"/>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0"/>
        <v>5</v>
      </c>
      <c r="Q19" s="4">
        <f t="shared" si="1"/>
        <v>0</v>
      </c>
      <c r="R19" s="4">
        <f t="shared" si="2"/>
        <v>5</v>
      </c>
      <c r="S19" s="8" t="str">
        <f t="shared" si="3"/>
        <v>, 90</v>
      </c>
      <c r="T19" s="8" t="str">
        <f t="shared" si="4"/>
        <v>, 60</v>
      </c>
      <c r="U19" s="8" t="str">
        <f t="shared" si="5"/>
        <v>, 231</v>
      </c>
      <c r="V19" s="8" t="str">
        <f t="shared" si="6"/>
        <v>, 60</v>
      </c>
      <c r="W19" s="8" t="str">
        <f t="shared" si="7"/>
        <v>, 90</v>
      </c>
      <c r="X19" s="8" t="str">
        <f t="shared" si="8"/>
        <v/>
      </c>
      <c r="Y19" s="8" t="str">
        <f t="shared" si="9"/>
        <v/>
      </c>
      <c r="Z19" s="8" t="str">
        <f t="shared" si="10"/>
        <v/>
      </c>
      <c r="AA19" s="8" t="str">
        <f t="shared" si="11"/>
        <v/>
      </c>
      <c r="AB19" s="8" t="str">
        <f t="shared" si="12"/>
        <v/>
      </c>
      <c r="AC19" s="5" t="str">
        <f t="shared" si="13"/>
        <v>,		// 15 - 'Snowflake'</v>
      </c>
      <c r="AD19" s="4"/>
      <c r="AE19" s="31" t="str">
        <f t="shared" si="14"/>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0"/>
        <v>5</v>
      </c>
      <c r="Q20" s="4">
        <f t="shared" si="1"/>
        <v>0</v>
      </c>
      <c r="R20" s="4">
        <f t="shared" si="2"/>
        <v>5</v>
      </c>
      <c r="S20" s="8" t="str">
        <f t="shared" si="3"/>
        <v>, 127</v>
      </c>
      <c r="T20" s="8" t="str">
        <f t="shared" si="4"/>
        <v>, 62</v>
      </c>
      <c r="U20" s="8" t="str">
        <f t="shared" si="5"/>
        <v>, 28</v>
      </c>
      <c r="V20" s="8" t="str">
        <f t="shared" si="6"/>
        <v>, 28</v>
      </c>
      <c r="W20" s="8" t="str">
        <f t="shared" si="7"/>
        <v>, 8</v>
      </c>
      <c r="X20" s="8" t="str">
        <f t="shared" si="8"/>
        <v/>
      </c>
      <c r="Y20" s="8" t="str">
        <f t="shared" si="9"/>
        <v/>
      </c>
      <c r="Z20" s="8" t="str">
        <f t="shared" si="10"/>
        <v/>
      </c>
      <c r="AA20" s="8" t="str">
        <f t="shared" si="11"/>
        <v/>
      </c>
      <c r="AB20" s="8" t="str">
        <f t="shared" si="12"/>
        <v/>
      </c>
      <c r="AC20" s="5" t="str">
        <f t="shared" si="13"/>
        <v>,		// 16 - 'Right Pointer'</v>
      </c>
      <c r="AD20" s="4"/>
      <c r="AE20" s="31" t="str">
        <f t="shared" si="14"/>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0"/>
        <v>5</v>
      </c>
      <c r="Q21" s="4">
        <f t="shared" si="1"/>
        <v>0</v>
      </c>
      <c r="R21" s="4">
        <f t="shared" si="2"/>
        <v>5</v>
      </c>
      <c r="S21" s="8" t="str">
        <f t="shared" si="3"/>
        <v>, 8</v>
      </c>
      <c r="T21" s="8" t="str">
        <f t="shared" si="4"/>
        <v>, 28</v>
      </c>
      <c r="U21" s="8" t="str">
        <f t="shared" si="5"/>
        <v>, 28</v>
      </c>
      <c r="V21" s="8" t="str">
        <f t="shared" si="6"/>
        <v>, 62</v>
      </c>
      <c r="W21" s="8" t="str">
        <f t="shared" si="7"/>
        <v>, 127</v>
      </c>
      <c r="X21" s="8" t="str">
        <f t="shared" si="8"/>
        <v/>
      </c>
      <c r="Y21" s="8" t="str">
        <f t="shared" si="9"/>
        <v/>
      </c>
      <c r="Z21" s="8" t="str">
        <f t="shared" si="10"/>
        <v/>
      </c>
      <c r="AA21" s="8" t="str">
        <f t="shared" si="11"/>
        <v/>
      </c>
      <c r="AB21" s="8" t="str">
        <f t="shared" si="12"/>
        <v/>
      </c>
      <c r="AC21" s="5" t="str">
        <f t="shared" si="13"/>
        <v>,		// 17 - 'Left Pointer'</v>
      </c>
      <c r="AD21" s="4"/>
      <c r="AE21" s="31" t="str">
        <f t="shared" si="14"/>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0"/>
        <v>5</v>
      </c>
      <c r="Q22" s="4">
        <f t="shared" si="1"/>
        <v>0</v>
      </c>
      <c r="R22" s="4">
        <f t="shared" si="2"/>
        <v>5</v>
      </c>
      <c r="S22" s="8" t="str">
        <f t="shared" si="3"/>
        <v>, 20</v>
      </c>
      <c r="T22" s="8" t="str">
        <f t="shared" si="4"/>
        <v>, 34</v>
      </c>
      <c r="U22" s="8" t="str">
        <f t="shared" si="5"/>
        <v>, 127</v>
      </c>
      <c r="V22" s="8" t="str">
        <f t="shared" si="6"/>
        <v>, 34</v>
      </c>
      <c r="W22" s="8" t="str">
        <f t="shared" si="7"/>
        <v>, 20</v>
      </c>
      <c r="X22" s="8" t="str">
        <f t="shared" si="8"/>
        <v/>
      </c>
      <c r="Y22" s="8" t="str">
        <f t="shared" si="9"/>
        <v/>
      </c>
      <c r="Z22" s="8" t="str">
        <f t="shared" si="10"/>
        <v/>
      </c>
      <c r="AA22" s="8" t="str">
        <f t="shared" si="11"/>
        <v/>
      </c>
      <c r="AB22" s="8" t="str">
        <f t="shared" si="12"/>
        <v/>
      </c>
      <c r="AC22" s="5" t="str">
        <f t="shared" si="13"/>
        <v>,		// 18 - 'UpDown Arrows'</v>
      </c>
      <c r="AD22" s="4"/>
      <c r="AE22" s="31" t="str">
        <f t="shared" si="14"/>
        <v>5, 20, 34, 127, 34, 20,		// 18 - 'UpDown Arrows'</v>
      </c>
      <c r="AF22" s="4"/>
    </row>
    <row r="23" spans="1:32" x14ac:dyDescent="0.25">
      <c r="A23" s="16">
        <v>19</v>
      </c>
      <c r="B23" s="20"/>
      <c r="C23" s="38"/>
      <c r="D23" s="42">
        <v>0</v>
      </c>
      <c r="E23" s="11">
        <v>0</v>
      </c>
      <c r="F23" s="11">
        <v>0</v>
      </c>
      <c r="G23" s="11">
        <v>0</v>
      </c>
      <c r="H23" s="11">
        <v>0</v>
      </c>
      <c r="I23" s="11">
        <v>0</v>
      </c>
      <c r="J23" s="11">
        <v>0</v>
      </c>
      <c r="K23" s="11">
        <v>0</v>
      </c>
      <c r="L23" s="11">
        <v>0</v>
      </c>
      <c r="M23" s="11">
        <v>0</v>
      </c>
      <c r="N23" s="12">
        <v>0</v>
      </c>
      <c r="O23" s="4"/>
      <c r="P23" s="4">
        <f t="shared" si="0"/>
        <v>0</v>
      </c>
      <c r="Q23" s="4">
        <f t="shared" si="1"/>
        <v>0</v>
      </c>
      <c r="R23" s="4">
        <f t="shared" si="2"/>
        <v>0</v>
      </c>
      <c r="S23" s="8" t="str">
        <f t="shared" si="3"/>
        <v/>
      </c>
      <c r="T23" s="8" t="str">
        <f t="shared" si="4"/>
        <v/>
      </c>
      <c r="U23" s="8" t="str">
        <f t="shared" si="5"/>
        <v/>
      </c>
      <c r="V23" s="8" t="str">
        <f t="shared" si="6"/>
        <v/>
      </c>
      <c r="W23" s="8" t="str">
        <f t="shared" si="7"/>
        <v/>
      </c>
      <c r="X23" s="8" t="str">
        <f t="shared" si="8"/>
        <v/>
      </c>
      <c r="Y23" s="8" t="str">
        <f t="shared" si="9"/>
        <v/>
      </c>
      <c r="Z23" s="8" t="str">
        <f t="shared" si="10"/>
        <v/>
      </c>
      <c r="AA23" s="8" t="str">
        <f t="shared" si="11"/>
        <v/>
      </c>
      <c r="AB23" s="8" t="str">
        <f t="shared" si="12"/>
        <v/>
      </c>
      <c r="AC23" s="5" t="str">
        <f t="shared" si="13"/>
        <v>,		// 19</v>
      </c>
      <c r="AD23" s="4"/>
      <c r="AE23" s="31" t="str">
        <f t="shared" si="14"/>
        <v>0,		// 19</v>
      </c>
      <c r="AF23" s="4"/>
    </row>
    <row r="24" spans="1:32" x14ac:dyDescent="0.25">
      <c r="A24" s="16">
        <v>20</v>
      </c>
      <c r="B24" s="20"/>
      <c r="C24" s="38"/>
      <c r="D24" s="42">
        <v>0</v>
      </c>
      <c r="E24" s="11">
        <v>0</v>
      </c>
      <c r="F24" s="11">
        <v>0</v>
      </c>
      <c r="G24" s="11">
        <v>0</v>
      </c>
      <c r="H24" s="11">
        <v>0</v>
      </c>
      <c r="I24" s="11">
        <v>0</v>
      </c>
      <c r="J24" s="11">
        <v>0</v>
      </c>
      <c r="K24" s="11">
        <v>0</v>
      </c>
      <c r="L24" s="11">
        <v>0</v>
      </c>
      <c r="M24" s="11">
        <v>0</v>
      </c>
      <c r="N24" s="12">
        <v>0</v>
      </c>
      <c r="O24" s="4"/>
      <c r="P24" s="4">
        <f t="shared" si="0"/>
        <v>0</v>
      </c>
      <c r="Q24" s="4">
        <f t="shared" si="1"/>
        <v>0</v>
      </c>
      <c r="R24" s="4">
        <f t="shared" si="2"/>
        <v>0</v>
      </c>
      <c r="S24" s="8" t="str">
        <f t="shared" si="3"/>
        <v/>
      </c>
      <c r="T24" s="8" t="str">
        <f t="shared" si="4"/>
        <v/>
      </c>
      <c r="U24" s="8" t="str">
        <f t="shared" si="5"/>
        <v/>
      </c>
      <c r="V24" s="8" t="str">
        <f t="shared" si="6"/>
        <v/>
      </c>
      <c r="W24" s="8" t="str">
        <f t="shared" si="7"/>
        <v/>
      </c>
      <c r="X24" s="8" t="str">
        <f t="shared" si="8"/>
        <v/>
      </c>
      <c r="Y24" s="8" t="str">
        <f t="shared" si="9"/>
        <v/>
      </c>
      <c r="Z24" s="8" t="str">
        <f t="shared" si="10"/>
        <v/>
      </c>
      <c r="AA24" s="8" t="str">
        <f t="shared" si="11"/>
        <v/>
      </c>
      <c r="AB24" s="8" t="str">
        <f t="shared" si="12"/>
        <v/>
      </c>
      <c r="AC24" s="5" t="str">
        <f t="shared" si="13"/>
        <v>,		// 20</v>
      </c>
      <c r="AD24" s="4"/>
      <c r="AE24" s="31" t="str">
        <f t="shared" si="14"/>
        <v>0,		// 20</v>
      </c>
      <c r="AF24" s="4"/>
    </row>
    <row r="25" spans="1:32" x14ac:dyDescent="0.25">
      <c r="A25" s="16">
        <v>21</v>
      </c>
      <c r="B25" s="20"/>
      <c r="C25" s="38"/>
      <c r="D25" s="42">
        <v>0</v>
      </c>
      <c r="E25" s="11">
        <v>0</v>
      </c>
      <c r="F25" s="11">
        <v>0</v>
      </c>
      <c r="G25" s="11">
        <v>0</v>
      </c>
      <c r="H25" s="11">
        <v>0</v>
      </c>
      <c r="I25" s="11">
        <v>0</v>
      </c>
      <c r="J25" s="11">
        <v>0</v>
      </c>
      <c r="K25" s="11">
        <v>0</v>
      </c>
      <c r="L25" s="11">
        <v>0</v>
      </c>
      <c r="M25" s="11">
        <v>0</v>
      </c>
      <c r="N25" s="12">
        <v>0</v>
      </c>
      <c r="O25" s="4"/>
      <c r="P25" s="4">
        <f t="shared" si="0"/>
        <v>0</v>
      </c>
      <c r="Q25" s="4">
        <f t="shared" si="1"/>
        <v>0</v>
      </c>
      <c r="R25" s="4">
        <f t="shared" si="2"/>
        <v>0</v>
      </c>
      <c r="S25" s="8" t="str">
        <f t="shared" si="3"/>
        <v/>
      </c>
      <c r="T25" s="8" t="str">
        <f t="shared" si="4"/>
        <v/>
      </c>
      <c r="U25" s="8" t="str">
        <f t="shared" si="5"/>
        <v/>
      </c>
      <c r="V25" s="8" t="str">
        <f t="shared" si="6"/>
        <v/>
      </c>
      <c r="W25" s="8" t="str">
        <f t="shared" si="7"/>
        <v/>
      </c>
      <c r="X25" s="8" t="str">
        <f t="shared" si="8"/>
        <v/>
      </c>
      <c r="Y25" s="8" t="str">
        <f t="shared" si="9"/>
        <v/>
      </c>
      <c r="Z25" s="8" t="str">
        <f t="shared" si="10"/>
        <v/>
      </c>
      <c r="AA25" s="8" t="str">
        <f t="shared" si="11"/>
        <v/>
      </c>
      <c r="AB25" s="8" t="str">
        <f t="shared" si="12"/>
        <v/>
      </c>
      <c r="AC25" s="5" t="str">
        <f t="shared" si="13"/>
        <v>,		// 21</v>
      </c>
      <c r="AD25" s="4"/>
      <c r="AE25" s="31" t="str">
        <f t="shared" si="14"/>
        <v>0,		// 21</v>
      </c>
      <c r="AF25" s="4"/>
    </row>
    <row r="26" spans="1:32" x14ac:dyDescent="0.25">
      <c r="A26" s="16">
        <v>22</v>
      </c>
      <c r="B26" s="20"/>
      <c r="C26" s="38"/>
      <c r="D26" s="42">
        <v>0</v>
      </c>
      <c r="E26" s="11">
        <v>0</v>
      </c>
      <c r="F26" s="11">
        <v>0</v>
      </c>
      <c r="G26" s="11">
        <v>0</v>
      </c>
      <c r="H26" s="11">
        <v>0</v>
      </c>
      <c r="I26" s="11">
        <v>0</v>
      </c>
      <c r="J26" s="11">
        <v>0</v>
      </c>
      <c r="K26" s="11">
        <v>0</v>
      </c>
      <c r="L26" s="11">
        <v>0</v>
      </c>
      <c r="M26" s="11">
        <v>0</v>
      </c>
      <c r="N26" s="12">
        <v>0</v>
      </c>
      <c r="O26" s="4"/>
      <c r="P26" s="4">
        <f t="shared" si="0"/>
        <v>0</v>
      </c>
      <c r="Q26" s="4">
        <f t="shared" si="1"/>
        <v>0</v>
      </c>
      <c r="R26" s="4">
        <f t="shared" si="2"/>
        <v>0</v>
      </c>
      <c r="S26" s="8" t="str">
        <f t="shared" si="3"/>
        <v/>
      </c>
      <c r="T26" s="8" t="str">
        <f t="shared" si="4"/>
        <v/>
      </c>
      <c r="U26" s="8" t="str">
        <f t="shared" si="5"/>
        <v/>
      </c>
      <c r="V26" s="8" t="str">
        <f t="shared" si="6"/>
        <v/>
      </c>
      <c r="W26" s="8" t="str">
        <f t="shared" si="7"/>
        <v/>
      </c>
      <c r="X26" s="8" t="str">
        <f t="shared" si="8"/>
        <v/>
      </c>
      <c r="Y26" s="8" t="str">
        <f t="shared" si="9"/>
        <v/>
      </c>
      <c r="Z26" s="8" t="str">
        <f t="shared" si="10"/>
        <v/>
      </c>
      <c r="AA26" s="8" t="str">
        <f t="shared" si="11"/>
        <v/>
      </c>
      <c r="AB26" s="8" t="str">
        <f t="shared" si="12"/>
        <v/>
      </c>
      <c r="AC26" s="5" t="str">
        <f t="shared" si="13"/>
        <v>,		// 22</v>
      </c>
      <c r="AD26" s="4"/>
      <c r="AE26" s="31" t="str">
        <f t="shared" si="14"/>
        <v>0,		// 22</v>
      </c>
      <c r="AF26" s="4"/>
    </row>
    <row r="27" spans="1:32" x14ac:dyDescent="0.25">
      <c r="A27" s="16">
        <v>23</v>
      </c>
      <c r="B27" s="20"/>
      <c r="C27" s="38"/>
      <c r="D27" s="42">
        <v>0</v>
      </c>
      <c r="E27" s="11">
        <v>0</v>
      </c>
      <c r="F27" s="11">
        <v>0</v>
      </c>
      <c r="G27" s="11">
        <v>0</v>
      </c>
      <c r="H27" s="11">
        <v>0</v>
      </c>
      <c r="I27" s="11">
        <v>0</v>
      </c>
      <c r="J27" s="11">
        <v>0</v>
      </c>
      <c r="K27" s="11">
        <v>0</v>
      </c>
      <c r="L27" s="11">
        <v>0</v>
      </c>
      <c r="M27" s="11">
        <v>0</v>
      </c>
      <c r="N27" s="12">
        <v>0</v>
      </c>
      <c r="O27" s="4"/>
      <c r="P27" s="4">
        <f t="shared" si="0"/>
        <v>0</v>
      </c>
      <c r="Q27" s="4">
        <f t="shared" si="1"/>
        <v>0</v>
      </c>
      <c r="R27" s="4">
        <f t="shared" si="2"/>
        <v>0</v>
      </c>
      <c r="S27" s="8" t="str">
        <f t="shared" si="3"/>
        <v/>
      </c>
      <c r="T27" s="8" t="str">
        <f t="shared" si="4"/>
        <v/>
      </c>
      <c r="U27" s="8" t="str">
        <f t="shared" si="5"/>
        <v/>
      </c>
      <c r="V27" s="8" t="str">
        <f t="shared" si="6"/>
        <v/>
      </c>
      <c r="W27" s="8" t="str">
        <f t="shared" si="7"/>
        <v/>
      </c>
      <c r="X27" s="8" t="str">
        <f t="shared" si="8"/>
        <v/>
      </c>
      <c r="Y27" s="8" t="str">
        <f t="shared" si="9"/>
        <v/>
      </c>
      <c r="Z27" s="8" t="str">
        <f t="shared" si="10"/>
        <v/>
      </c>
      <c r="AA27" s="8" t="str">
        <f t="shared" si="11"/>
        <v/>
      </c>
      <c r="AB27" s="8" t="str">
        <f t="shared" si="12"/>
        <v/>
      </c>
      <c r="AC27" s="5" t="str">
        <f t="shared" si="13"/>
        <v>,		// 23</v>
      </c>
      <c r="AD27" s="4"/>
      <c r="AE27" s="31" t="str">
        <f t="shared" si="14"/>
        <v>0,		// 23</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0"/>
        <v>5</v>
      </c>
      <c r="Q28" s="4">
        <f t="shared" si="1"/>
        <v>0</v>
      </c>
      <c r="R28" s="4">
        <f t="shared" si="2"/>
        <v>5</v>
      </c>
      <c r="S28" s="8" t="str">
        <f t="shared" si="3"/>
        <v>, 8</v>
      </c>
      <c r="T28" s="8" t="str">
        <f t="shared" si="4"/>
        <v>, 4</v>
      </c>
      <c r="U28" s="8" t="str">
        <f t="shared" si="5"/>
        <v>, 126</v>
      </c>
      <c r="V28" s="8" t="str">
        <f t="shared" si="6"/>
        <v>, 4</v>
      </c>
      <c r="W28" s="8" t="str">
        <f t="shared" si="7"/>
        <v>, 8</v>
      </c>
      <c r="X28" s="8" t="str">
        <f t="shared" si="8"/>
        <v/>
      </c>
      <c r="Y28" s="8" t="str">
        <f t="shared" si="9"/>
        <v/>
      </c>
      <c r="Z28" s="8" t="str">
        <f t="shared" si="10"/>
        <v/>
      </c>
      <c r="AA28" s="8" t="str">
        <f t="shared" si="11"/>
        <v/>
      </c>
      <c r="AB28" s="8" t="str">
        <f t="shared" si="12"/>
        <v/>
      </c>
      <c r="AC28" s="5" t="str">
        <f t="shared" si="13"/>
        <v>,		// 24 - 'Up Arrow'</v>
      </c>
      <c r="AD28" s="4"/>
      <c r="AE28" s="31" t="str">
        <f t="shared" si="14"/>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0"/>
        <v>5</v>
      </c>
      <c r="Q29" s="4">
        <f t="shared" si="1"/>
        <v>0</v>
      </c>
      <c r="R29" s="4">
        <f t="shared" si="2"/>
        <v>5</v>
      </c>
      <c r="S29" s="8" t="str">
        <f t="shared" si="3"/>
        <v>, 16</v>
      </c>
      <c r="T29" s="8" t="str">
        <f t="shared" si="4"/>
        <v>, 32</v>
      </c>
      <c r="U29" s="8" t="str">
        <f t="shared" si="5"/>
        <v>, 126</v>
      </c>
      <c r="V29" s="8" t="str">
        <f t="shared" si="6"/>
        <v>, 32</v>
      </c>
      <c r="W29" s="8" t="str">
        <f t="shared" si="7"/>
        <v>, 16</v>
      </c>
      <c r="X29" s="8" t="str">
        <f t="shared" si="8"/>
        <v/>
      </c>
      <c r="Y29" s="8" t="str">
        <f t="shared" si="9"/>
        <v/>
      </c>
      <c r="Z29" s="8" t="str">
        <f t="shared" si="10"/>
        <v/>
      </c>
      <c r="AA29" s="8" t="str">
        <f t="shared" si="11"/>
        <v/>
      </c>
      <c r="AB29" s="8" t="str">
        <f t="shared" si="12"/>
        <v/>
      </c>
      <c r="AC29" s="5" t="str">
        <f t="shared" si="13"/>
        <v>,		// 25 - 'Down Arrow'</v>
      </c>
      <c r="AD29" s="4"/>
      <c r="AE29" s="31" t="str">
        <f t="shared" si="14"/>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0"/>
        <v>5</v>
      </c>
      <c r="Q30" s="4">
        <f t="shared" si="1"/>
        <v>0</v>
      </c>
      <c r="R30" s="4">
        <f t="shared" si="2"/>
        <v>5</v>
      </c>
      <c r="S30" s="8" t="str">
        <f t="shared" si="3"/>
        <v>, 8</v>
      </c>
      <c r="T30" s="8" t="str">
        <f t="shared" si="4"/>
        <v>, 8</v>
      </c>
      <c r="U30" s="8" t="str">
        <f t="shared" si="5"/>
        <v>, 42</v>
      </c>
      <c r="V30" s="8" t="str">
        <f t="shared" si="6"/>
        <v>, 28</v>
      </c>
      <c r="W30" s="8" t="str">
        <f t="shared" si="7"/>
        <v>, 8</v>
      </c>
      <c r="X30" s="8" t="str">
        <f t="shared" si="8"/>
        <v/>
      </c>
      <c r="Y30" s="8" t="str">
        <f t="shared" si="9"/>
        <v/>
      </c>
      <c r="Z30" s="8" t="str">
        <f t="shared" si="10"/>
        <v/>
      </c>
      <c r="AA30" s="8" t="str">
        <f t="shared" si="11"/>
        <v/>
      </c>
      <c r="AB30" s="8" t="str">
        <f t="shared" si="12"/>
        <v/>
      </c>
      <c r="AC30" s="5" t="str">
        <f t="shared" si="13"/>
        <v>,		// 26 - 'Right Arrow'</v>
      </c>
      <c r="AD30" s="4"/>
      <c r="AE30" s="31" t="str">
        <f t="shared" si="14"/>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0"/>
        <v>5</v>
      </c>
      <c r="Q31" s="4">
        <f t="shared" si="1"/>
        <v>0</v>
      </c>
      <c r="R31" s="4">
        <f t="shared" si="2"/>
        <v>5</v>
      </c>
      <c r="S31" s="8" t="str">
        <f t="shared" si="3"/>
        <v>, 8</v>
      </c>
      <c r="T31" s="8" t="str">
        <f t="shared" si="4"/>
        <v>, 28</v>
      </c>
      <c r="U31" s="8" t="str">
        <f t="shared" si="5"/>
        <v>, 42</v>
      </c>
      <c r="V31" s="8" t="str">
        <f t="shared" si="6"/>
        <v>, 8</v>
      </c>
      <c r="W31" s="8" t="str">
        <f t="shared" si="7"/>
        <v>, 8</v>
      </c>
      <c r="X31" s="8" t="str">
        <f t="shared" si="8"/>
        <v/>
      </c>
      <c r="Y31" s="8" t="str">
        <f t="shared" si="9"/>
        <v/>
      </c>
      <c r="Z31" s="8" t="str">
        <f t="shared" si="10"/>
        <v/>
      </c>
      <c r="AA31" s="8" t="str">
        <f t="shared" si="11"/>
        <v/>
      </c>
      <c r="AB31" s="8" t="str">
        <f t="shared" si="12"/>
        <v/>
      </c>
      <c r="AC31" s="5" t="str">
        <f t="shared" si="13"/>
        <v>,		// 27 - 'Left Arrow'</v>
      </c>
      <c r="AD31" s="4"/>
      <c r="AE31" s="31" t="str">
        <f t="shared" si="14"/>
        <v>5, 8, 28, 42, 8, 8,		// 27 - 'Left Arrow'</v>
      </c>
      <c r="AF31" s="4"/>
    </row>
    <row r="32" spans="1:32" x14ac:dyDescent="0.25">
      <c r="A32" s="16">
        <v>28</v>
      </c>
      <c r="B32" s="20"/>
      <c r="C32" s="38"/>
      <c r="D32" s="42">
        <v>0</v>
      </c>
      <c r="E32" s="11">
        <v>0</v>
      </c>
      <c r="F32" s="11">
        <v>0</v>
      </c>
      <c r="G32" s="11">
        <v>0</v>
      </c>
      <c r="H32" s="11">
        <v>0</v>
      </c>
      <c r="I32" s="11">
        <v>0</v>
      </c>
      <c r="J32" s="11">
        <v>0</v>
      </c>
      <c r="K32" s="11">
        <v>0</v>
      </c>
      <c r="L32" s="11">
        <v>0</v>
      </c>
      <c r="M32" s="11">
        <v>0</v>
      </c>
      <c r="N32" s="12">
        <v>0</v>
      </c>
      <c r="O32" s="4"/>
      <c r="P32" s="4">
        <f t="shared" si="0"/>
        <v>0</v>
      </c>
      <c r="Q32" s="4">
        <f t="shared" si="1"/>
        <v>0</v>
      </c>
      <c r="R32" s="4">
        <f t="shared" si="2"/>
        <v>0</v>
      </c>
      <c r="S32" s="8" t="str">
        <f t="shared" si="3"/>
        <v/>
      </c>
      <c r="T32" s="8" t="str">
        <f t="shared" si="4"/>
        <v/>
      </c>
      <c r="U32" s="8" t="str">
        <f t="shared" si="5"/>
        <v/>
      </c>
      <c r="V32" s="8" t="str">
        <f t="shared" si="6"/>
        <v/>
      </c>
      <c r="W32" s="8" t="str">
        <f t="shared" si="7"/>
        <v/>
      </c>
      <c r="X32" s="8" t="str">
        <f t="shared" si="8"/>
        <v/>
      </c>
      <c r="Y32" s="8" t="str">
        <f t="shared" si="9"/>
        <v/>
      </c>
      <c r="Z32" s="8" t="str">
        <f t="shared" si="10"/>
        <v/>
      </c>
      <c r="AA32" s="8" t="str">
        <f t="shared" si="11"/>
        <v/>
      </c>
      <c r="AB32" s="8" t="str">
        <f t="shared" si="12"/>
        <v/>
      </c>
      <c r="AC32" s="5" t="str">
        <f t="shared" si="13"/>
        <v>,		// 28</v>
      </c>
      <c r="AD32" s="4"/>
      <c r="AE32" s="31" t="str">
        <f t="shared" si="14"/>
        <v>0,		// 28</v>
      </c>
      <c r="AF32" s="4"/>
    </row>
    <row r="33" spans="1:32" x14ac:dyDescent="0.25">
      <c r="A33" s="16">
        <v>29</v>
      </c>
      <c r="B33" s="20"/>
      <c r="C33" s="38"/>
      <c r="D33" s="42">
        <v>0</v>
      </c>
      <c r="E33" s="11">
        <v>0</v>
      </c>
      <c r="F33" s="11">
        <v>0</v>
      </c>
      <c r="G33" s="11">
        <v>0</v>
      </c>
      <c r="H33" s="11">
        <v>0</v>
      </c>
      <c r="I33" s="11">
        <v>0</v>
      </c>
      <c r="J33" s="11">
        <v>0</v>
      </c>
      <c r="K33" s="11">
        <v>0</v>
      </c>
      <c r="L33" s="11">
        <v>0</v>
      </c>
      <c r="M33" s="11">
        <v>0</v>
      </c>
      <c r="N33" s="12">
        <v>0</v>
      </c>
      <c r="O33" s="4"/>
      <c r="P33" s="4">
        <f t="shared" si="0"/>
        <v>0</v>
      </c>
      <c r="Q33" s="4">
        <f t="shared" si="1"/>
        <v>0</v>
      </c>
      <c r="R33" s="4">
        <f t="shared" si="2"/>
        <v>0</v>
      </c>
      <c r="S33" s="8" t="str">
        <f t="shared" si="3"/>
        <v/>
      </c>
      <c r="T33" s="8" t="str">
        <f t="shared" si="4"/>
        <v/>
      </c>
      <c r="U33" s="8" t="str">
        <f t="shared" si="5"/>
        <v/>
      </c>
      <c r="V33" s="8" t="str">
        <f t="shared" si="6"/>
        <v/>
      </c>
      <c r="W33" s="8" t="str">
        <f t="shared" si="7"/>
        <v/>
      </c>
      <c r="X33" s="8" t="str">
        <f t="shared" si="8"/>
        <v/>
      </c>
      <c r="Y33" s="8" t="str">
        <f t="shared" si="9"/>
        <v/>
      </c>
      <c r="Z33" s="8" t="str">
        <f t="shared" si="10"/>
        <v/>
      </c>
      <c r="AA33" s="8" t="str">
        <f t="shared" si="11"/>
        <v/>
      </c>
      <c r="AB33" s="8" t="str">
        <f t="shared" si="12"/>
        <v/>
      </c>
      <c r="AC33" s="5" t="str">
        <f t="shared" si="13"/>
        <v>,		// 29</v>
      </c>
      <c r="AD33" s="4"/>
      <c r="AE33" s="31" t="str">
        <f t="shared" si="14"/>
        <v>0,		// 29</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0"/>
        <v>5</v>
      </c>
      <c r="Q34" s="4">
        <f t="shared" si="1"/>
        <v>0</v>
      </c>
      <c r="R34" s="4">
        <f t="shared" si="2"/>
        <v>5</v>
      </c>
      <c r="S34" s="8" t="str">
        <f t="shared" si="3"/>
        <v>, 48</v>
      </c>
      <c r="T34" s="8" t="str">
        <f t="shared" si="4"/>
        <v>, 56</v>
      </c>
      <c r="U34" s="8" t="str">
        <f t="shared" si="5"/>
        <v>, 62</v>
      </c>
      <c r="V34" s="8" t="str">
        <f t="shared" si="6"/>
        <v>, 56</v>
      </c>
      <c r="W34" s="8" t="str">
        <f t="shared" si="7"/>
        <v>, 48</v>
      </c>
      <c r="X34" s="8" t="str">
        <f t="shared" si="8"/>
        <v/>
      </c>
      <c r="Y34" s="8" t="str">
        <f t="shared" si="9"/>
        <v/>
      </c>
      <c r="Z34" s="8" t="str">
        <f t="shared" si="10"/>
        <v/>
      </c>
      <c r="AA34" s="8" t="str">
        <f t="shared" si="11"/>
        <v/>
      </c>
      <c r="AB34" s="8" t="str">
        <f t="shared" si="12"/>
        <v/>
      </c>
      <c r="AC34" s="5" t="str">
        <f t="shared" si="13"/>
        <v>,		// 30 - 'Up Pointer'</v>
      </c>
      <c r="AD34" s="4"/>
      <c r="AE34" s="31" t="str">
        <f t="shared" si="14"/>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0"/>
        <v>5</v>
      </c>
      <c r="Q35" s="4">
        <f t="shared" si="1"/>
        <v>0</v>
      </c>
      <c r="R35" s="4">
        <f t="shared" si="2"/>
        <v>5</v>
      </c>
      <c r="S35" s="8" t="str">
        <f t="shared" si="3"/>
        <v>, 6</v>
      </c>
      <c r="T35" s="8" t="str">
        <f t="shared" si="4"/>
        <v>, 14</v>
      </c>
      <c r="U35" s="8" t="str">
        <f t="shared" si="5"/>
        <v>, 62</v>
      </c>
      <c r="V35" s="8" t="str">
        <f t="shared" si="6"/>
        <v>, 14</v>
      </c>
      <c r="W35" s="8" t="str">
        <f t="shared" si="7"/>
        <v>, 6</v>
      </c>
      <c r="X35" s="8" t="str">
        <f t="shared" si="8"/>
        <v/>
      </c>
      <c r="Y35" s="8" t="str">
        <f t="shared" si="9"/>
        <v/>
      </c>
      <c r="Z35" s="8" t="str">
        <f t="shared" si="10"/>
        <v/>
      </c>
      <c r="AA35" s="8" t="str">
        <f t="shared" si="11"/>
        <v/>
      </c>
      <c r="AB35" s="8" t="str">
        <f t="shared" si="12"/>
        <v/>
      </c>
      <c r="AC35" s="5" t="str">
        <f t="shared" si="13"/>
        <v>,		// 31 - 'Down Pointer'</v>
      </c>
      <c r="AD35" s="4"/>
      <c r="AE35" s="31" t="str">
        <f t="shared" si="14"/>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0"/>
        <v>2</v>
      </c>
      <c r="Q36" s="4">
        <f t="shared" si="1"/>
        <v>0</v>
      </c>
      <c r="R36" s="4">
        <f t="shared" si="2"/>
        <v>2</v>
      </c>
      <c r="S36" s="8" t="str">
        <f t="shared" si="3"/>
        <v>, 0</v>
      </c>
      <c r="T36" s="8" t="str">
        <f t="shared" si="4"/>
        <v>, 0</v>
      </c>
      <c r="U36" s="8" t="str">
        <f t="shared" si="5"/>
        <v/>
      </c>
      <c r="V36" s="8" t="str">
        <f t="shared" si="6"/>
        <v/>
      </c>
      <c r="W36" s="8" t="str">
        <f t="shared" si="7"/>
        <v/>
      </c>
      <c r="X36" s="8" t="str">
        <f t="shared" si="8"/>
        <v/>
      </c>
      <c r="Y36" s="8" t="str">
        <f t="shared" si="9"/>
        <v/>
      </c>
      <c r="Z36" s="8" t="str">
        <f t="shared" si="10"/>
        <v/>
      </c>
      <c r="AA36" s="8" t="str">
        <f t="shared" si="11"/>
        <v/>
      </c>
      <c r="AB36" s="8" t="str">
        <f t="shared" si="12"/>
        <v/>
      </c>
      <c r="AC36" s="5" t="str">
        <f t="shared" si="13"/>
        <v>,		// 32 - 'Space'</v>
      </c>
      <c r="AD36" s="4"/>
      <c r="AE36" s="31" t="str">
        <f t="shared" si="14"/>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0"/>
        <v>1</v>
      </c>
      <c r="Q37" s="4">
        <f t="shared" si="1"/>
        <v>0</v>
      </c>
      <c r="R37" s="4">
        <f t="shared" si="2"/>
        <v>1</v>
      </c>
      <c r="S37" s="8" t="str">
        <f t="shared" si="3"/>
        <v>, 95</v>
      </c>
      <c r="T37" s="8" t="str">
        <f t="shared" si="4"/>
        <v/>
      </c>
      <c r="U37" s="8" t="str">
        <f t="shared" si="5"/>
        <v/>
      </c>
      <c r="V37" s="8" t="str">
        <f t="shared" si="6"/>
        <v/>
      </c>
      <c r="W37" s="8" t="str">
        <f t="shared" si="7"/>
        <v/>
      </c>
      <c r="X37" s="8" t="str">
        <f t="shared" si="8"/>
        <v/>
      </c>
      <c r="Y37" s="8" t="str">
        <f t="shared" si="9"/>
        <v/>
      </c>
      <c r="Z37" s="8" t="str">
        <f t="shared" si="10"/>
        <v/>
      </c>
      <c r="AA37" s="8" t="str">
        <f t="shared" si="11"/>
        <v/>
      </c>
      <c r="AB37" s="8" t="str">
        <f t="shared" si="12"/>
        <v/>
      </c>
      <c r="AC37" s="5" t="str">
        <f t="shared" si="13"/>
        <v>,		// 33 - '!'</v>
      </c>
      <c r="AD37" s="4"/>
      <c r="AE37" s="31" t="str">
        <f t="shared" si="14"/>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0"/>
        <v>3</v>
      </c>
      <c r="Q38" s="4">
        <f t="shared" si="1"/>
        <v>0</v>
      </c>
      <c r="R38" s="4">
        <f t="shared" si="2"/>
        <v>3</v>
      </c>
      <c r="S38" s="8" t="str">
        <f t="shared" si="3"/>
        <v>, 7</v>
      </c>
      <c r="T38" s="8" t="str">
        <f t="shared" si="4"/>
        <v>, 0</v>
      </c>
      <c r="U38" s="8" t="str">
        <f t="shared" si="5"/>
        <v>, 7</v>
      </c>
      <c r="V38" s="8" t="str">
        <f t="shared" si="6"/>
        <v/>
      </c>
      <c r="W38" s="8" t="str">
        <f t="shared" si="7"/>
        <v/>
      </c>
      <c r="X38" s="8" t="str">
        <f t="shared" si="8"/>
        <v/>
      </c>
      <c r="Y38" s="8" t="str">
        <f t="shared" si="9"/>
        <v/>
      </c>
      <c r="Z38" s="8" t="str">
        <f t="shared" si="10"/>
        <v/>
      </c>
      <c r="AA38" s="8" t="str">
        <f t="shared" si="11"/>
        <v/>
      </c>
      <c r="AB38" s="8" t="str">
        <f t="shared" si="12"/>
        <v/>
      </c>
      <c r="AC38" s="5" t="str">
        <f t="shared" si="13"/>
        <v>,		// 34 - '"'</v>
      </c>
      <c r="AD38" s="4"/>
      <c r="AE38" s="31" t="str">
        <f t="shared" si="14"/>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0"/>
        <v>5</v>
      </c>
      <c r="Q39" s="4">
        <f t="shared" si="1"/>
        <v>0</v>
      </c>
      <c r="R39" s="4">
        <f t="shared" si="2"/>
        <v>5</v>
      </c>
      <c r="S39" s="8" t="str">
        <f t="shared" si="3"/>
        <v>, 20</v>
      </c>
      <c r="T39" s="8" t="str">
        <f t="shared" si="4"/>
        <v>, 127</v>
      </c>
      <c r="U39" s="8" t="str">
        <f t="shared" si="5"/>
        <v>, 20</v>
      </c>
      <c r="V39" s="8" t="str">
        <f t="shared" si="6"/>
        <v>, 127</v>
      </c>
      <c r="W39" s="8" t="str">
        <f t="shared" si="7"/>
        <v>, 20</v>
      </c>
      <c r="X39" s="8" t="str">
        <f t="shared" si="8"/>
        <v/>
      </c>
      <c r="Y39" s="8" t="str">
        <f t="shared" si="9"/>
        <v/>
      </c>
      <c r="Z39" s="8" t="str">
        <f t="shared" si="10"/>
        <v/>
      </c>
      <c r="AA39" s="8" t="str">
        <f t="shared" si="11"/>
        <v/>
      </c>
      <c r="AB39" s="8" t="str">
        <f t="shared" si="12"/>
        <v/>
      </c>
      <c r="AC39" s="5" t="str">
        <f t="shared" si="13"/>
        <v>,		// 35 - '#'</v>
      </c>
      <c r="AD39" s="4"/>
      <c r="AE39" s="31" t="str">
        <f t="shared" si="14"/>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0"/>
        <v>5</v>
      </c>
      <c r="Q40" s="4">
        <f t="shared" si="1"/>
        <v>0</v>
      </c>
      <c r="R40" s="4">
        <f t="shared" si="2"/>
        <v>5</v>
      </c>
      <c r="S40" s="8" t="str">
        <f t="shared" si="3"/>
        <v>, 36</v>
      </c>
      <c r="T40" s="8" t="str">
        <f t="shared" si="4"/>
        <v>, 42</v>
      </c>
      <c r="U40" s="8" t="str">
        <f t="shared" si="5"/>
        <v>, 127</v>
      </c>
      <c r="V40" s="8" t="str">
        <f t="shared" si="6"/>
        <v>, 42</v>
      </c>
      <c r="W40" s="8" t="str">
        <f t="shared" si="7"/>
        <v>, 18</v>
      </c>
      <c r="X40" s="8" t="str">
        <f t="shared" si="8"/>
        <v/>
      </c>
      <c r="Y40" s="8" t="str">
        <f t="shared" si="9"/>
        <v/>
      </c>
      <c r="Z40" s="8" t="str">
        <f t="shared" si="10"/>
        <v/>
      </c>
      <c r="AA40" s="8" t="str">
        <f t="shared" si="11"/>
        <v/>
      </c>
      <c r="AB40" s="8" t="str">
        <f t="shared" si="12"/>
        <v/>
      </c>
      <c r="AC40" s="5" t="str">
        <f t="shared" si="13"/>
        <v>,		// 36 - '$'</v>
      </c>
      <c r="AD40" s="4"/>
      <c r="AE40" s="31" t="str">
        <f t="shared" si="14"/>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0"/>
        <v>5</v>
      </c>
      <c r="Q41" s="4">
        <f t="shared" si="1"/>
        <v>0</v>
      </c>
      <c r="R41" s="4">
        <f t="shared" si="2"/>
        <v>5</v>
      </c>
      <c r="S41" s="8" t="str">
        <f t="shared" si="3"/>
        <v>, 35</v>
      </c>
      <c r="T41" s="8" t="str">
        <f t="shared" si="4"/>
        <v>, 19</v>
      </c>
      <c r="U41" s="8" t="str">
        <f t="shared" si="5"/>
        <v>, 8</v>
      </c>
      <c r="V41" s="8" t="str">
        <f t="shared" si="6"/>
        <v>, 100</v>
      </c>
      <c r="W41" s="8" t="str">
        <f t="shared" si="7"/>
        <v>, 98</v>
      </c>
      <c r="X41" s="8" t="str">
        <f t="shared" si="8"/>
        <v/>
      </c>
      <c r="Y41" s="8" t="str">
        <f t="shared" si="9"/>
        <v/>
      </c>
      <c r="Z41" s="8" t="str">
        <f t="shared" si="10"/>
        <v/>
      </c>
      <c r="AA41" s="8" t="str">
        <f t="shared" si="11"/>
        <v/>
      </c>
      <c r="AB41" s="8" t="str">
        <f t="shared" si="12"/>
        <v/>
      </c>
      <c r="AC41" s="5" t="str">
        <f t="shared" si="13"/>
        <v>,		// 37 - '%'</v>
      </c>
      <c r="AD41" s="4"/>
      <c r="AE41" s="31" t="str">
        <f t="shared" si="14"/>
        <v>5, 35, 19, 8, 100, 98,		// 37 - '%'</v>
      </c>
      <c r="AF41" s="4"/>
    </row>
    <row r="42" spans="1:32" x14ac:dyDescent="0.25">
      <c r="A42" s="16">
        <v>38</v>
      </c>
      <c r="B42" s="20"/>
      <c r="C42" s="38" t="s">
        <v>11</v>
      </c>
      <c r="D42" s="42">
        <v>0</v>
      </c>
      <c r="E42" s="11">
        <v>54</v>
      </c>
      <c r="F42" s="11">
        <v>73</v>
      </c>
      <c r="G42" s="11">
        <v>85</v>
      </c>
      <c r="H42" s="11">
        <v>34</v>
      </c>
      <c r="I42" s="11">
        <v>80</v>
      </c>
      <c r="J42" s="11">
        <v>0</v>
      </c>
      <c r="K42" s="11">
        <v>0</v>
      </c>
      <c r="L42" s="11">
        <v>0</v>
      </c>
      <c r="M42" s="11">
        <v>0</v>
      </c>
      <c r="N42" s="12">
        <v>0</v>
      </c>
      <c r="O42" s="4"/>
      <c r="P42" s="4">
        <f t="shared" si="0"/>
        <v>5</v>
      </c>
      <c r="Q42" s="4">
        <f t="shared" si="1"/>
        <v>0</v>
      </c>
      <c r="R42" s="4">
        <f t="shared" si="2"/>
        <v>5</v>
      </c>
      <c r="S42" s="8" t="str">
        <f t="shared" si="3"/>
        <v>, 54</v>
      </c>
      <c r="T42" s="8" t="str">
        <f t="shared" si="4"/>
        <v>, 73</v>
      </c>
      <c r="U42" s="8" t="str">
        <f t="shared" si="5"/>
        <v>, 85</v>
      </c>
      <c r="V42" s="8" t="str">
        <f t="shared" si="6"/>
        <v>, 34</v>
      </c>
      <c r="W42" s="8" t="str">
        <f t="shared" si="7"/>
        <v>, 80</v>
      </c>
      <c r="X42" s="8" t="str">
        <f t="shared" si="8"/>
        <v/>
      </c>
      <c r="Y42" s="8" t="str">
        <f t="shared" si="9"/>
        <v/>
      </c>
      <c r="Z42" s="8" t="str">
        <f t="shared" si="10"/>
        <v/>
      </c>
      <c r="AA42" s="8" t="str">
        <f t="shared" si="11"/>
        <v/>
      </c>
      <c r="AB42" s="8" t="str">
        <f t="shared" si="12"/>
        <v/>
      </c>
      <c r="AC42" s="5" t="str">
        <f t="shared" si="13"/>
        <v>,		// 38 - '&amp;'</v>
      </c>
      <c r="AD42" s="4"/>
      <c r="AE42" s="31" t="str">
        <f t="shared" si="14"/>
        <v>5, 54, 73, 85, 34,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0"/>
        <v>3</v>
      </c>
      <c r="Q43" s="4">
        <f t="shared" si="1"/>
        <v>0</v>
      </c>
      <c r="R43" s="4">
        <f t="shared" si="2"/>
        <v>3</v>
      </c>
      <c r="S43" s="8" t="str">
        <f t="shared" si="3"/>
        <v>, 8</v>
      </c>
      <c r="T43" s="8" t="str">
        <f t="shared" si="4"/>
        <v>, 7</v>
      </c>
      <c r="U43" s="8" t="str">
        <f t="shared" si="5"/>
        <v>, 3</v>
      </c>
      <c r="V43" s="8" t="str">
        <f t="shared" si="6"/>
        <v/>
      </c>
      <c r="W43" s="8" t="str">
        <f t="shared" si="7"/>
        <v/>
      </c>
      <c r="X43" s="8" t="str">
        <f t="shared" si="8"/>
        <v/>
      </c>
      <c r="Y43" s="8" t="str">
        <f t="shared" si="9"/>
        <v/>
      </c>
      <c r="Z43" s="8" t="str">
        <f t="shared" si="10"/>
        <v/>
      </c>
      <c r="AA43" s="8" t="str">
        <f t="shared" si="11"/>
        <v/>
      </c>
      <c r="AB43" s="8" t="str">
        <f t="shared" si="12"/>
        <v/>
      </c>
      <c r="AC43" s="5" t="str">
        <f t="shared" si="13"/>
        <v>,		// 39 - '''</v>
      </c>
      <c r="AD43" s="4"/>
      <c r="AE43" s="31" t="str">
        <f t="shared" si="14"/>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0"/>
        <v>3</v>
      </c>
      <c r="Q44" s="4">
        <f t="shared" si="1"/>
        <v>0</v>
      </c>
      <c r="R44" s="4">
        <f t="shared" si="2"/>
        <v>3</v>
      </c>
      <c r="S44" s="8" t="str">
        <f t="shared" si="3"/>
        <v>, 28</v>
      </c>
      <c r="T44" s="8" t="str">
        <f t="shared" si="4"/>
        <v>, 34</v>
      </c>
      <c r="U44" s="8" t="str">
        <f t="shared" si="5"/>
        <v>, 65</v>
      </c>
      <c r="V44" s="8" t="str">
        <f t="shared" si="6"/>
        <v/>
      </c>
      <c r="W44" s="8" t="str">
        <f t="shared" si="7"/>
        <v/>
      </c>
      <c r="X44" s="8" t="str">
        <f t="shared" si="8"/>
        <v/>
      </c>
      <c r="Y44" s="8" t="str">
        <f t="shared" si="9"/>
        <v/>
      </c>
      <c r="Z44" s="8" t="str">
        <f t="shared" si="10"/>
        <v/>
      </c>
      <c r="AA44" s="8" t="str">
        <f t="shared" si="11"/>
        <v/>
      </c>
      <c r="AB44" s="8" t="str">
        <f t="shared" si="12"/>
        <v/>
      </c>
      <c r="AC44" s="5" t="str">
        <f t="shared" si="13"/>
        <v>,		// 40 - '('</v>
      </c>
      <c r="AD44" s="4"/>
      <c r="AE44" s="31" t="str">
        <f t="shared" si="14"/>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0"/>
        <v>3</v>
      </c>
      <c r="Q45" s="4">
        <f t="shared" si="1"/>
        <v>0</v>
      </c>
      <c r="R45" s="4">
        <f t="shared" si="2"/>
        <v>3</v>
      </c>
      <c r="S45" s="8" t="str">
        <f t="shared" si="3"/>
        <v>, 65</v>
      </c>
      <c r="T45" s="8" t="str">
        <f t="shared" si="4"/>
        <v>, 34</v>
      </c>
      <c r="U45" s="8" t="str">
        <f t="shared" si="5"/>
        <v>, 28</v>
      </c>
      <c r="V45" s="8" t="str">
        <f t="shared" si="6"/>
        <v/>
      </c>
      <c r="W45" s="8" t="str">
        <f t="shared" si="7"/>
        <v/>
      </c>
      <c r="X45" s="8" t="str">
        <f t="shared" si="8"/>
        <v/>
      </c>
      <c r="Y45" s="8" t="str">
        <f t="shared" si="9"/>
        <v/>
      </c>
      <c r="Z45" s="8" t="str">
        <f t="shared" si="10"/>
        <v/>
      </c>
      <c r="AA45" s="8" t="str">
        <f t="shared" si="11"/>
        <v/>
      </c>
      <c r="AB45" s="8" t="str">
        <f t="shared" si="12"/>
        <v/>
      </c>
      <c r="AC45" s="5" t="str">
        <f t="shared" si="13"/>
        <v>,		// 41 - ')'</v>
      </c>
      <c r="AD45" s="4"/>
      <c r="AE45" s="31" t="str">
        <f t="shared" si="14"/>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0"/>
        <v>5</v>
      </c>
      <c r="Q46" s="4">
        <f t="shared" si="1"/>
        <v>0</v>
      </c>
      <c r="R46" s="4">
        <f t="shared" si="2"/>
        <v>5</v>
      </c>
      <c r="S46" s="8" t="str">
        <f t="shared" si="3"/>
        <v>, 42</v>
      </c>
      <c r="T46" s="8" t="str">
        <f t="shared" si="4"/>
        <v>, 28</v>
      </c>
      <c r="U46" s="8" t="str">
        <f t="shared" si="5"/>
        <v>, 127</v>
      </c>
      <c r="V46" s="8" t="str">
        <f t="shared" si="6"/>
        <v>, 28</v>
      </c>
      <c r="W46" s="8" t="str">
        <f t="shared" si="7"/>
        <v>, 42</v>
      </c>
      <c r="X46" s="8" t="str">
        <f t="shared" si="8"/>
        <v/>
      </c>
      <c r="Y46" s="8" t="str">
        <f t="shared" si="9"/>
        <v/>
      </c>
      <c r="Z46" s="8" t="str">
        <f t="shared" si="10"/>
        <v/>
      </c>
      <c r="AA46" s="8" t="str">
        <f t="shared" si="11"/>
        <v/>
      </c>
      <c r="AB46" s="8" t="str">
        <f t="shared" si="12"/>
        <v/>
      </c>
      <c r="AC46" s="5" t="str">
        <f t="shared" si="13"/>
        <v>,		// 42 - '*'</v>
      </c>
      <c r="AD46" s="4"/>
      <c r="AE46" s="31" t="str">
        <f t="shared" si="14"/>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0"/>
        <v>5</v>
      </c>
      <c r="Q47" s="4">
        <f t="shared" si="1"/>
        <v>0</v>
      </c>
      <c r="R47" s="4">
        <f t="shared" si="2"/>
        <v>5</v>
      </c>
      <c r="S47" s="8" t="str">
        <f t="shared" si="3"/>
        <v>, 8</v>
      </c>
      <c r="T47" s="8" t="str">
        <f t="shared" si="4"/>
        <v>, 8</v>
      </c>
      <c r="U47" s="8" t="str">
        <f t="shared" si="5"/>
        <v>, 62</v>
      </c>
      <c r="V47" s="8" t="str">
        <f t="shared" si="6"/>
        <v>, 8</v>
      </c>
      <c r="W47" s="8" t="str">
        <f t="shared" si="7"/>
        <v>, 8</v>
      </c>
      <c r="X47" s="8" t="str">
        <f t="shared" si="8"/>
        <v/>
      </c>
      <c r="Y47" s="8" t="str">
        <f t="shared" si="9"/>
        <v/>
      </c>
      <c r="Z47" s="8" t="str">
        <f t="shared" si="10"/>
        <v/>
      </c>
      <c r="AA47" s="8" t="str">
        <f t="shared" si="11"/>
        <v/>
      </c>
      <c r="AB47" s="8" t="str">
        <f t="shared" si="12"/>
        <v/>
      </c>
      <c r="AC47" s="5" t="str">
        <f t="shared" si="13"/>
        <v>,		// 43 - '+'</v>
      </c>
      <c r="AD47" s="4"/>
      <c r="AE47" s="31" t="str">
        <f t="shared" si="14"/>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0"/>
        <v>3</v>
      </c>
      <c r="Q48" s="4">
        <f t="shared" si="1"/>
        <v>0</v>
      </c>
      <c r="R48" s="4">
        <f t="shared" si="2"/>
        <v>3</v>
      </c>
      <c r="S48" s="8" t="str">
        <f t="shared" si="3"/>
        <v>, 128</v>
      </c>
      <c r="T48" s="8" t="str">
        <f t="shared" si="4"/>
        <v>, 112</v>
      </c>
      <c r="U48" s="8" t="str">
        <f t="shared" si="5"/>
        <v>, 48</v>
      </c>
      <c r="V48" s="8" t="str">
        <f t="shared" si="6"/>
        <v/>
      </c>
      <c r="W48" s="8" t="str">
        <f t="shared" si="7"/>
        <v/>
      </c>
      <c r="X48" s="8" t="str">
        <f t="shared" si="8"/>
        <v/>
      </c>
      <c r="Y48" s="8" t="str">
        <f t="shared" si="9"/>
        <v/>
      </c>
      <c r="Z48" s="8" t="str">
        <f t="shared" si="10"/>
        <v/>
      </c>
      <c r="AA48" s="8" t="str">
        <f t="shared" si="11"/>
        <v/>
      </c>
      <c r="AB48" s="8" t="str">
        <f t="shared" si="12"/>
        <v/>
      </c>
      <c r="AC48" s="5" t="str">
        <f t="shared" si="13"/>
        <v>,		// 44 - ','</v>
      </c>
      <c r="AD48" s="4"/>
      <c r="AE48" s="31" t="str">
        <f t="shared" si="14"/>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0"/>
        <v>5</v>
      </c>
      <c r="Q49" s="4">
        <f t="shared" si="1"/>
        <v>0</v>
      </c>
      <c r="R49" s="4">
        <f t="shared" si="2"/>
        <v>5</v>
      </c>
      <c r="S49" s="8" t="str">
        <f t="shared" si="3"/>
        <v>, 8</v>
      </c>
      <c r="T49" s="8" t="str">
        <f t="shared" si="4"/>
        <v>, 8</v>
      </c>
      <c r="U49" s="8" t="str">
        <f t="shared" si="5"/>
        <v>, 8</v>
      </c>
      <c r="V49" s="8" t="str">
        <f t="shared" si="6"/>
        <v>, 8</v>
      </c>
      <c r="W49" s="8" t="str">
        <f t="shared" si="7"/>
        <v>, 8</v>
      </c>
      <c r="X49" s="8" t="str">
        <f t="shared" si="8"/>
        <v/>
      </c>
      <c r="Y49" s="8" t="str">
        <f t="shared" si="9"/>
        <v/>
      </c>
      <c r="Z49" s="8" t="str">
        <f t="shared" si="10"/>
        <v/>
      </c>
      <c r="AA49" s="8" t="str">
        <f t="shared" si="11"/>
        <v/>
      </c>
      <c r="AB49" s="8" t="str">
        <f t="shared" si="12"/>
        <v/>
      </c>
      <c r="AC49" s="5" t="str">
        <f t="shared" si="13"/>
        <v>,		// 45 - '-'</v>
      </c>
      <c r="AD49" s="4"/>
      <c r="AE49" s="31" t="str">
        <f t="shared" si="14"/>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0"/>
        <v>2</v>
      </c>
      <c r="Q50" s="4">
        <f t="shared" si="1"/>
        <v>0</v>
      </c>
      <c r="R50" s="4">
        <f t="shared" si="2"/>
        <v>2</v>
      </c>
      <c r="S50" s="8" t="str">
        <f t="shared" si="3"/>
        <v>, 96</v>
      </c>
      <c r="T50" s="8" t="str">
        <f t="shared" si="4"/>
        <v>, 96</v>
      </c>
      <c r="U50" s="8" t="str">
        <f t="shared" si="5"/>
        <v/>
      </c>
      <c r="V50" s="8" t="str">
        <f t="shared" si="6"/>
        <v/>
      </c>
      <c r="W50" s="8" t="str">
        <f t="shared" si="7"/>
        <v/>
      </c>
      <c r="X50" s="8" t="str">
        <f t="shared" si="8"/>
        <v/>
      </c>
      <c r="Y50" s="8" t="str">
        <f t="shared" si="9"/>
        <v/>
      </c>
      <c r="Z50" s="8" t="str">
        <f t="shared" si="10"/>
        <v/>
      </c>
      <c r="AA50" s="8" t="str">
        <f t="shared" si="11"/>
        <v/>
      </c>
      <c r="AB50" s="8" t="str">
        <f t="shared" si="12"/>
        <v/>
      </c>
      <c r="AC50" s="5" t="str">
        <f t="shared" si="13"/>
        <v>,		// 46 - '.'</v>
      </c>
      <c r="AD50" s="4"/>
      <c r="AE50" s="31" t="str">
        <f t="shared" si="14"/>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0"/>
        <v>5</v>
      </c>
      <c r="Q51" s="4">
        <f t="shared" si="1"/>
        <v>0</v>
      </c>
      <c r="R51" s="4">
        <f t="shared" si="2"/>
        <v>5</v>
      </c>
      <c r="S51" s="8" t="str">
        <f t="shared" si="3"/>
        <v>, 32</v>
      </c>
      <c r="T51" s="8" t="str">
        <f t="shared" si="4"/>
        <v>, 16</v>
      </c>
      <c r="U51" s="8" t="str">
        <f t="shared" si="5"/>
        <v>, 8</v>
      </c>
      <c r="V51" s="8" t="str">
        <f t="shared" si="6"/>
        <v>, 4</v>
      </c>
      <c r="W51" s="8" t="str">
        <f t="shared" si="7"/>
        <v>, 2</v>
      </c>
      <c r="X51" s="8" t="str">
        <f t="shared" si="8"/>
        <v/>
      </c>
      <c r="Y51" s="8" t="str">
        <f t="shared" si="9"/>
        <v/>
      </c>
      <c r="Z51" s="8" t="str">
        <f t="shared" si="10"/>
        <v/>
      </c>
      <c r="AA51" s="8" t="str">
        <f t="shared" si="11"/>
        <v/>
      </c>
      <c r="AB51" s="8" t="str">
        <f t="shared" si="12"/>
        <v/>
      </c>
      <c r="AC51" s="5" t="str">
        <f t="shared" si="13"/>
        <v>,		// 47 - '/'</v>
      </c>
      <c r="AD51" s="4"/>
      <c r="AE51" s="31" t="str">
        <f t="shared" si="14"/>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0"/>
        <v>5</v>
      </c>
      <c r="Q52" s="4">
        <f t="shared" si="1"/>
        <v>0</v>
      </c>
      <c r="R52" s="4">
        <f t="shared" si="2"/>
        <v>5</v>
      </c>
      <c r="S52" s="8" t="str">
        <f t="shared" si="3"/>
        <v>, 62</v>
      </c>
      <c r="T52" s="8" t="str">
        <f t="shared" si="4"/>
        <v>, 81</v>
      </c>
      <c r="U52" s="8" t="str">
        <f t="shared" si="5"/>
        <v>, 73</v>
      </c>
      <c r="V52" s="8" t="str">
        <f t="shared" si="6"/>
        <v>, 69</v>
      </c>
      <c r="W52" s="8" t="str">
        <f t="shared" si="7"/>
        <v>, 62</v>
      </c>
      <c r="X52" s="8" t="str">
        <f t="shared" si="8"/>
        <v/>
      </c>
      <c r="Y52" s="8" t="str">
        <f t="shared" si="9"/>
        <v/>
      </c>
      <c r="Z52" s="8" t="str">
        <f t="shared" si="10"/>
        <v/>
      </c>
      <c r="AA52" s="8" t="str">
        <f t="shared" si="11"/>
        <v/>
      </c>
      <c r="AB52" s="8" t="str">
        <f t="shared" si="12"/>
        <v/>
      </c>
      <c r="AC52" s="5" t="str">
        <f t="shared" si="13"/>
        <v>,		// 48 - '0'</v>
      </c>
      <c r="AD52" s="4"/>
      <c r="AE52" s="31" t="str">
        <f t="shared" si="14"/>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0"/>
        <v>3</v>
      </c>
      <c r="Q53" s="4">
        <f t="shared" si="1"/>
        <v>0</v>
      </c>
      <c r="R53" s="4">
        <f t="shared" si="2"/>
        <v>3</v>
      </c>
      <c r="S53" s="8" t="str">
        <f t="shared" si="3"/>
        <v>, 66</v>
      </c>
      <c r="T53" s="8" t="str">
        <f t="shared" si="4"/>
        <v>, 127</v>
      </c>
      <c r="U53" s="8" t="str">
        <f t="shared" si="5"/>
        <v>, 64</v>
      </c>
      <c r="V53" s="8" t="str">
        <f t="shared" si="6"/>
        <v/>
      </c>
      <c r="W53" s="8" t="str">
        <f t="shared" si="7"/>
        <v/>
      </c>
      <c r="X53" s="8" t="str">
        <f t="shared" si="8"/>
        <v/>
      </c>
      <c r="Y53" s="8" t="str">
        <f t="shared" si="9"/>
        <v/>
      </c>
      <c r="Z53" s="8" t="str">
        <f t="shared" si="10"/>
        <v/>
      </c>
      <c r="AA53" s="8" t="str">
        <f t="shared" si="11"/>
        <v/>
      </c>
      <c r="AB53" s="8" t="str">
        <f t="shared" si="12"/>
        <v/>
      </c>
      <c r="AC53" s="5" t="str">
        <f t="shared" si="13"/>
        <v>,		// 49 - '1'</v>
      </c>
      <c r="AD53" s="4"/>
      <c r="AE53" s="31" t="str">
        <f t="shared" si="14"/>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0"/>
        <v>5</v>
      </c>
      <c r="Q54" s="4">
        <f t="shared" si="1"/>
        <v>0</v>
      </c>
      <c r="R54" s="4">
        <f t="shared" si="2"/>
        <v>5</v>
      </c>
      <c r="S54" s="8" t="str">
        <f t="shared" si="3"/>
        <v>, 114</v>
      </c>
      <c r="T54" s="8" t="str">
        <f t="shared" si="4"/>
        <v>, 73</v>
      </c>
      <c r="U54" s="8" t="str">
        <f t="shared" si="5"/>
        <v>, 73</v>
      </c>
      <c r="V54" s="8" t="str">
        <f t="shared" si="6"/>
        <v>, 73</v>
      </c>
      <c r="W54" s="8" t="str">
        <f t="shared" si="7"/>
        <v>, 70</v>
      </c>
      <c r="X54" s="8" t="str">
        <f t="shared" si="8"/>
        <v/>
      </c>
      <c r="Y54" s="8" t="str">
        <f t="shared" si="9"/>
        <v/>
      </c>
      <c r="Z54" s="8" t="str">
        <f t="shared" si="10"/>
        <v/>
      </c>
      <c r="AA54" s="8" t="str">
        <f t="shared" si="11"/>
        <v/>
      </c>
      <c r="AB54" s="8" t="str">
        <f t="shared" si="12"/>
        <v/>
      </c>
      <c r="AC54" s="5" t="str">
        <f t="shared" si="13"/>
        <v>,		// 50 - '2'</v>
      </c>
      <c r="AD54" s="4"/>
      <c r="AE54" s="31" t="str">
        <f t="shared" si="14"/>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0"/>
        <v>5</v>
      </c>
      <c r="Q55" s="4">
        <f t="shared" si="1"/>
        <v>0</v>
      </c>
      <c r="R55" s="4">
        <f t="shared" si="2"/>
        <v>5</v>
      </c>
      <c r="S55" s="8" t="str">
        <f t="shared" si="3"/>
        <v>, 33</v>
      </c>
      <c r="T55" s="8" t="str">
        <f t="shared" si="4"/>
        <v>, 65</v>
      </c>
      <c r="U55" s="8" t="str">
        <f t="shared" si="5"/>
        <v>, 73</v>
      </c>
      <c r="V55" s="8" t="str">
        <f t="shared" si="6"/>
        <v>, 77</v>
      </c>
      <c r="W55" s="8" t="str">
        <f t="shared" si="7"/>
        <v>, 51</v>
      </c>
      <c r="X55" s="8" t="str">
        <f t="shared" si="8"/>
        <v/>
      </c>
      <c r="Y55" s="8" t="str">
        <f t="shared" si="9"/>
        <v/>
      </c>
      <c r="Z55" s="8" t="str">
        <f t="shared" si="10"/>
        <v/>
      </c>
      <c r="AA55" s="8" t="str">
        <f t="shared" si="11"/>
        <v/>
      </c>
      <c r="AB55" s="8" t="str">
        <f t="shared" si="12"/>
        <v/>
      </c>
      <c r="AC55" s="5" t="str">
        <f t="shared" si="13"/>
        <v>,		// 51 - '3'</v>
      </c>
      <c r="AD55" s="4"/>
      <c r="AE55" s="31" t="str">
        <f t="shared" si="14"/>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0"/>
        <v>5</v>
      </c>
      <c r="Q56" s="4">
        <f t="shared" si="1"/>
        <v>0</v>
      </c>
      <c r="R56" s="4">
        <f t="shared" si="2"/>
        <v>5</v>
      </c>
      <c r="S56" s="8" t="str">
        <f t="shared" si="3"/>
        <v>, 24</v>
      </c>
      <c r="T56" s="8" t="str">
        <f t="shared" si="4"/>
        <v>, 20</v>
      </c>
      <c r="U56" s="8" t="str">
        <f t="shared" si="5"/>
        <v>, 18</v>
      </c>
      <c r="V56" s="8" t="str">
        <f t="shared" si="6"/>
        <v>, 127</v>
      </c>
      <c r="W56" s="8" t="str">
        <f t="shared" si="7"/>
        <v>, 16</v>
      </c>
      <c r="X56" s="8" t="str">
        <f t="shared" si="8"/>
        <v/>
      </c>
      <c r="Y56" s="8" t="str">
        <f t="shared" si="9"/>
        <v/>
      </c>
      <c r="Z56" s="8" t="str">
        <f t="shared" si="10"/>
        <v/>
      </c>
      <c r="AA56" s="8" t="str">
        <f t="shared" si="11"/>
        <v/>
      </c>
      <c r="AB56" s="8" t="str">
        <f t="shared" si="12"/>
        <v/>
      </c>
      <c r="AC56" s="5" t="str">
        <f t="shared" si="13"/>
        <v>,		// 52 - '4'</v>
      </c>
      <c r="AD56" s="4"/>
      <c r="AE56" s="31" t="str">
        <f t="shared" si="14"/>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0"/>
        <v>5</v>
      </c>
      <c r="Q57" s="4">
        <f t="shared" si="1"/>
        <v>0</v>
      </c>
      <c r="R57" s="4">
        <f t="shared" si="2"/>
        <v>5</v>
      </c>
      <c r="S57" s="8" t="str">
        <f t="shared" si="3"/>
        <v>, 39</v>
      </c>
      <c r="T57" s="8" t="str">
        <f t="shared" si="4"/>
        <v>, 69</v>
      </c>
      <c r="U57" s="8" t="str">
        <f t="shared" si="5"/>
        <v>, 69</v>
      </c>
      <c r="V57" s="8" t="str">
        <f t="shared" si="6"/>
        <v>, 69</v>
      </c>
      <c r="W57" s="8" t="str">
        <f t="shared" si="7"/>
        <v>, 57</v>
      </c>
      <c r="X57" s="8" t="str">
        <f t="shared" si="8"/>
        <v/>
      </c>
      <c r="Y57" s="8" t="str">
        <f t="shared" si="9"/>
        <v/>
      </c>
      <c r="Z57" s="8" t="str">
        <f t="shared" si="10"/>
        <v/>
      </c>
      <c r="AA57" s="8" t="str">
        <f t="shared" si="11"/>
        <v/>
      </c>
      <c r="AB57" s="8" t="str">
        <f t="shared" si="12"/>
        <v/>
      </c>
      <c r="AC57" s="5" t="str">
        <f t="shared" si="13"/>
        <v>,		// 53 - '5'</v>
      </c>
      <c r="AD57" s="4"/>
      <c r="AE57" s="31" t="str">
        <f t="shared" si="14"/>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0"/>
        <v>5</v>
      </c>
      <c r="Q58" s="4">
        <f t="shared" si="1"/>
        <v>0</v>
      </c>
      <c r="R58" s="4">
        <f t="shared" si="2"/>
        <v>5</v>
      </c>
      <c r="S58" s="8" t="str">
        <f t="shared" si="3"/>
        <v>, 60</v>
      </c>
      <c r="T58" s="8" t="str">
        <f t="shared" si="4"/>
        <v>, 74</v>
      </c>
      <c r="U58" s="8" t="str">
        <f t="shared" si="5"/>
        <v>, 73</v>
      </c>
      <c r="V58" s="8" t="str">
        <f t="shared" si="6"/>
        <v>, 73</v>
      </c>
      <c r="W58" s="8" t="str">
        <f t="shared" si="7"/>
        <v>, 49</v>
      </c>
      <c r="X58" s="8" t="str">
        <f t="shared" si="8"/>
        <v/>
      </c>
      <c r="Y58" s="8" t="str">
        <f t="shared" si="9"/>
        <v/>
      </c>
      <c r="Z58" s="8" t="str">
        <f t="shared" si="10"/>
        <v/>
      </c>
      <c r="AA58" s="8" t="str">
        <f t="shared" si="11"/>
        <v/>
      </c>
      <c r="AB58" s="8" t="str">
        <f t="shared" si="12"/>
        <v/>
      </c>
      <c r="AC58" s="5" t="str">
        <f t="shared" si="13"/>
        <v>,		// 54 - '6'</v>
      </c>
      <c r="AD58" s="4"/>
      <c r="AE58" s="31" t="str">
        <f t="shared" si="14"/>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0"/>
        <v>5</v>
      </c>
      <c r="Q59" s="4">
        <f t="shared" si="1"/>
        <v>0</v>
      </c>
      <c r="R59" s="4">
        <f t="shared" si="2"/>
        <v>5</v>
      </c>
      <c r="S59" s="8" t="str">
        <f t="shared" si="3"/>
        <v>, 65</v>
      </c>
      <c r="T59" s="8" t="str">
        <f t="shared" si="4"/>
        <v>, 33</v>
      </c>
      <c r="U59" s="8" t="str">
        <f t="shared" si="5"/>
        <v>, 17</v>
      </c>
      <c r="V59" s="8" t="str">
        <f t="shared" si="6"/>
        <v>, 9</v>
      </c>
      <c r="W59" s="8" t="str">
        <f t="shared" si="7"/>
        <v>, 7</v>
      </c>
      <c r="X59" s="8" t="str">
        <f t="shared" si="8"/>
        <v/>
      </c>
      <c r="Y59" s="8" t="str">
        <f t="shared" si="9"/>
        <v/>
      </c>
      <c r="Z59" s="8" t="str">
        <f t="shared" si="10"/>
        <v/>
      </c>
      <c r="AA59" s="8" t="str">
        <f t="shared" si="11"/>
        <v/>
      </c>
      <c r="AB59" s="8" t="str">
        <f t="shared" si="12"/>
        <v/>
      </c>
      <c r="AC59" s="5" t="str">
        <f t="shared" si="13"/>
        <v>,		// 55 - '7'</v>
      </c>
      <c r="AD59" s="4"/>
      <c r="AE59" s="31" t="str">
        <f t="shared" si="14"/>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0"/>
        <v>5</v>
      </c>
      <c r="Q60" s="4">
        <f t="shared" si="1"/>
        <v>0</v>
      </c>
      <c r="R60" s="4">
        <f t="shared" si="2"/>
        <v>5</v>
      </c>
      <c r="S60" s="8" t="str">
        <f t="shared" si="3"/>
        <v>, 54</v>
      </c>
      <c r="T60" s="8" t="str">
        <f t="shared" si="4"/>
        <v>, 73</v>
      </c>
      <c r="U60" s="8" t="str">
        <f t="shared" si="5"/>
        <v>, 73</v>
      </c>
      <c r="V60" s="8" t="str">
        <f t="shared" si="6"/>
        <v>, 73</v>
      </c>
      <c r="W60" s="8" t="str">
        <f t="shared" si="7"/>
        <v>, 54</v>
      </c>
      <c r="X60" s="8" t="str">
        <f t="shared" si="8"/>
        <v/>
      </c>
      <c r="Y60" s="8" t="str">
        <f t="shared" si="9"/>
        <v/>
      </c>
      <c r="Z60" s="8" t="str">
        <f t="shared" si="10"/>
        <v/>
      </c>
      <c r="AA60" s="8" t="str">
        <f t="shared" si="11"/>
        <v/>
      </c>
      <c r="AB60" s="8" t="str">
        <f t="shared" si="12"/>
        <v/>
      </c>
      <c r="AC60" s="5" t="str">
        <f t="shared" si="13"/>
        <v>,		// 56 - '8'</v>
      </c>
      <c r="AD60" s="4"/>
      <c r="AE60" s="31" t="str">
        <f t="shared" si="14"/>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0"/>
        <v>5</v>
      </c>
      <c r="Q61" s="4">
        <f t="shared" si="1"/>
        <v>0</v>
      </c>
      <c r="R61" s="4">
        <f t="shared" si="2"/>
        <v>5</v>
      </c>
      <c r="S61" s="8" t="str">
        <f t="shared" si="3"/>
        <v>, 70</v>
      </c>
      <c r="T61" s="8" t="str">
        <f t="shared" si="4"/>
        <v>, 73</v>
      </c>
      <c r="U61" s="8" t="str">
        <f t="shared" si="5"/>
        <v>, 73</v>
      </c>
      <c r="V61" s="8" t="str">
        <f t="shared" si="6"/>
        <v>, 41</v>
      </c>
      <c r="W61" s="8" t="str">
        <f t="shared" si="7"/>
        <v>, 30</v>
      </c>
      <c r="X61" s="8" t="str">
        <f t="shared" si="8"/>
        <v/>
      </c>
      <c r="Y61" s="8" t="str">
        <f t="shared" si="9"/>
        <v/>
      </c>
      <c r="Z61" s="8" t="str">
        <f t="shared" si="10"/>
        <v/>
      </c>
      <c r="AA61" s="8" t="str">
        <f t="shared" si="11"/>
        <v/>
      </c>
      <c r="AB61" s="8" t="str">
        <f t="shared" si="12"/>
        <v/>
      </c>
      <c r="AC61" s="5" t="str">
        <f t="shared" si="13"/>
        <v>,		// 57 - '9'</v>
      </c>
      <c r="AD61" s="4"/>
      <c r="AE61" s="31" t="str">
        <f t="shared" si="14"/>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0"/>
        <v>1</v>
      </c>
      <c r="Q62" s="4">
        <f t="shared" si="1"/>
        <v>0</v>
      </c>
      <c r="R62" s="4">
        <f t="shared" si="2"/>
        <v>1</v>
      </c>
      <c r="S62" s="8" t="str">
        <f t="shared" si="3"/>
        <v>, 20</v>
      </c>
      <c r="T62" s="8" t="str">
        <f t="shared" si="4"/>
        <v/>
      </c>
      <c r="U62" s="8" t="str">
        <f t="shared" si="5"/>
        <v/>
      </c>
      <c r="V62" s="8" t="str">
        <f t="shared" si="6"/>
        <v/>
      </c>
      <c r="W62" s="8" t="str">
        <f t="shared" si="7"/>
        <v/>
      </c>
      <c r="X62" s="8" t="str">
        <f t="shared" si="8"/>
        <v/>
      </c>
      <c r="Y62" s="8" t="str">
        <f t="shared" si="9"/>
        <v/>
      </c>
      <c r="Z62" s="8" t="str">
        <f t="shared" si="10"/>
        <v/>
      </c>
      <c r="AA62" s="8" t="str">
        <f t="shared" si="11"/>
        <v/>
      </c>
      <c r="AB62" s="8" t="str">
        <f t="shared" si="12"/>
        <v/>
      </c>
      <c r="AC62" s="5" t="str">
        <f t="shared" si="13"/>
        <v>,		// 58 - ':'</v>
      </c>
      <c r="AD62" s="4"/>
      <c r="AE62" s="31" t="str">
        <f t="shared" si="14"/>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0"/>
        <v>2</v>
      </c>
      <c r="Q63" s="4">
        <f t="shared" si="1"/>
        <v>0</v>
      </c>
      <c r="R63" s="4">
        <f t="shared" si="2"/>
        <v>2</v>
      </c>
      <c r="S63" s="8" t="str">
        <f t="shared" si="3"/>
        <v>, 128</v>
      </c>
      <c r="T63" s="8" t="str">
        <f t="shared" si="4"/>
        <v>, 104</v>
      </c>
      <c r="U63" s="8" t="str">
        <f t="shared" si="5"/>
        <v/>
      </c>
      <c r="V63" s="8" t="str">
        <f t="shared" si="6"/>
        <v/>
      </c>
      <c r="W63" s="8" t="str">
        <f t="shared" si="7"/>
        <v/>
      </c>
      <c r="X63" s="8" t="str">
        <f t="shared" si="8"/>
        <v/>
      </c>
      <c r="Y63" s="8" t="str">
        <f t="shared" si="9"/>
        <v/>
      </c>
      <c r="Z63" s="8" t="str">
        <f t="shared" si="10"/>
        <v/>
      </c>
      <c r="AA63" s="8" t="str">
        <f t="shared" si="11"/>
        <v/>
      </c>
      <c r="AB63" s="8" t="str">
        <f t="shared" si="12"/>
        <v/>
      </c>
      <c r="AC63" s="5" t="str">
        <f t="shared" si="13"/>
        <v>,		// 59 - ';'</v>
      </c>
      <c r="AD63" s="4"/>
      <c r="AE63" s="31" t="str">
        <f t="shared" si="14"/>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0"/>
        <v>4</v>
      </c>
      <c r="Q64" s="4">
        <f t="shared" si="1"/>
        <v>0</v>
      </c>
      <c r="R64" s="4">
        <f t="shared" si="2"/>
        <v>4</v>
      </c>
      <c r="S64" s="8" t="str">
        <f t="shared" si="3"/>
        <v>, 8</v>
      </c>
      <c r="T64" s="8" t="str">
        <f t="shared" si="4"/>
        <v>, 20</v>
      </c>
      <c r="U64" s="8" t="str">
        <f t="shared" si="5"/>
        <v>, 34</v>
      </c>
      <c r="V64" s="8" t="str">
        <f t="shared" si="6"/>
        <v>, 65</v>
      </c>
      <c r="W64" s="8" t="str">
        <f t="shared" si="7"/>
        <v/>
      </c>
      <c r="X64" s="8" t="str">
        <f t="shared" si="8"/>
        <v/>
      </c>
      <c r="Y64" s="8" t="str">
        <f t="shared" si="9"/>
        <v/>
      </c>
      <c r="Z64" s="8" t="str">
        <f t="shared" si="10"/>
        <v/>
      </c>
      <c r="AA64" s="8" t="str">
        <f t="shared" si="11"/>
        <v/>
      </c>
      <c r="AB64" s="8" t="str">
        <f t="shared" si="12"/>
        <v/>
      </c>
      <c r="AC64" s="5" t="str">
        <f t="shared" si="13"/>
        <v>,		// 60 - '&lt;'</v>
      </c>
      <c r="AD64" s="4"/>
      <c r="AE64" s="31" t="str">
        <f t="shared" si="14"/>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0"/>
        <v>5</v>
      </c>
      <c r="Q65" s="4">
        <f t="shared" si="1"/>
        <v>0</v>
      </c>
      <c r="R65" s="4">
        <f t="shared" si="2"/>
        <v>5</v>
      </c>
      <c r="S65" s="8" t="str">
        <f t="shared" si="3"/>
        <v>, 20</v>
      </c>
      <c r="T65" s="8" t="str">
        <f t="shared" si="4"/>
        <v>, 20</v>
      </c>
      <c r="U65" s="8" t="str">
        <f t="shared" si="5"/>
        <v>, 20</v>
      </c>
      <c r="V65" s="8" t="str">
        <f t="shared" si="6"/>
        <v>, 20</v>
      </c>
      <c r="W65" s="8" t="str">
        <f t="shared" si="7"/>
        <v>, 20</v>
      </c>
      <c r="X65" s="8" t="str">
        <f t="shared" si="8"/>
        <v/>
      </c>
      <c r="Y65" s="8" t="str">
        <f t="shared" si="9"/>
        <v/>
      </c>
      <c r="Z65" s="8" t="str">
        <f t="shared" si="10"/>
        <v/>
      </c>
      <c r="AA65" s="8" t="str">
        <f t="shared" si="11"/>
        <v/>
      </c>
      <c r="AB65" s="8" t="str">
        <f t="shared" si="12"/>
        <v/>
      </c>
      <c r="AC65" s="5" t="str">
        <f t="shared" si="13"/>
        <v>,		// 61 - '='</v>
      </c>
      <c r="AD65" s="4"/>
      <c r="AE65" s="31" t="str">
        <f t="shared" si="14"/>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0"/>
        <v>4</v>
      </c>
      <c r="Q66" s="4">
        <f t="shared" si="1"/>
        <v>0</v>
      </c>
      <c r="R66" s="4">
        <f t="shared" si="2"/>
        <v>4</v>
      </c>
      <c r="S66" s="8" t="str">
        <f t="shared" si="3"/>
        <v>, 65</v>
      </c>
      <c r="T66" s="8" t="str">
        <f t="shared" si="4"/>
        <v>, 34</v>
      </c>
      <c r="U66" s="8" t="str">
        <f t="shared" si="5"/>
        <v>, 20</v>
      </c>
      <c r="V66" s="8" t="str">
        <f t="shared" si="6"/>
        <v>, 8</v>
      </c>
      <c r="W66" s="8" t="str">
        <f t="shared" si="7"/>
        <v/>
      </c>
      <c r="X66" s="8" t="str">
        <f t="shared" si="8"/>
        <v/>
      </c>
      <c r="Y66" s="8" t="str">
        <f t="shared" si="9"/>
        <v/>
      </c>
      <c r="Z66" s="8" t="str">
        <f t="shared" si="10"/>
        <v/>
      </c>
      <c r="AA66" s="8" t="str">
        <f t="shared" si="11"/>
        <v/>
      </c>
      <c r="AB66" s="8" t="str">
        <f t="shared" si="12"/>
        <v/>
      </c>
      <c r="AC66" s="5" t="str">
        <f t="shared" si="13"/>
        <v>,		// 62 - '&gt;'</v>
      </c>
      <c r="AD66" s="4"/>
      <c r="AE66" s="31" t="str">
        <f t="shared" si="14"/>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0"/>
        <v>5</v>
      </c>
      <c r="Q67" s="4">
        <f t="shared" si="1"/>
        <v>0</v>
      </c>
      <c r="R67" s="4">
        <f t="shared" si="2"/>
        <v>5</v>
      </c>
      <c r="S67" s="8" t="str">
        <f t="shared" si="3"/>
        <v>, 2</v>
      </c>
      <c r="T67" s="8" t="str">
        <f t="shared" si="4"/>
        <v>, 1</v>
      </c>
      <c r="U67" s="8" t="str">
        <f t="shared" si="5"/>
        <v>, 89</v>
      </c>
      <c r="V67" s="8" t="str">
        <f t="shared" si="6"/>
        <v>, 9</v>
      </c>
      <c r="W67" s="8" t="str">
        <f t="shared" si="7"/>
        <v>, 6</v>
      </c>
      <c r="X67" s="8" t="str">
        <f t="shared" si="8"/>
        <v/>
      </c>
      <c r="Y67" s="8" t="str">
        <f t="shared" si="9"/>
        <v/>
      </c>
      <c r="Z67" s="8" t="str">
        <f t="shared" si="10"/>
        <v/>
      </c>
      <c r="AA67" s="8" t="str">
        <f t="shared" si="11"/>
        <v/>
      </c>
      <c r="AB67" s="8" t="str">
        <f t="shared" si="12"/>
        <v/>
      </c>
      <c r="AC67" s="5" t="str">
        <f t="shared" si="13"/>
        <v>,		// 63 - '?'</v>
      </c>
      <c r="AD67" s="4"/>
      <c r="AE67" s="31" t="str">
        <f t="shared" si="14"/>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0"/>
        <v>5</v>
      </c>
      <c r="Q68" s="4">
        <f t="shared" si="1"/>
        <v>0</v>
      </c>
      <c r="R68" s="4">
        <f t="shared" si="2"/>
        <v>5</v>
      </c>
      <c r="S68" s="8" t="str">
        <f t="shared" si="3"/>
        <v>, 62</v>
      </c>
      <c r="T68" s="8" t="str">
        <f t="shared" si="4"/>
        <v>, 65</v>
      </c>
      <c r="U68" s="8" t="str">
        <f t="shared" si="5"/>
        <v>, 93</v>
      </c>
      <c r="V68" s="8" t="str">
        <f t="shared" si="6"/>
        <v>, 89</v>
      </c>
      <c r="W68" s="8" t="str">
        <f t="shared" si="7"/>
        <v>, 78</v>
      </c>
      <c r="X68" s="8" t="str">
        <f t="shared" si="8"/>
        <v/>
      </c>
      <c r="Y68" s="8" t="str">
        <f t="shared" si="9"/>
        <v/>
      </c>
      <c r="Z68" s="8" t="str">
        <f t="shared" si="10"/>
        <v/>
      </c>
      <c r="AA68" s="8" t="str">
        <f t="shared" si="11"/>
        <v/>
      </c>
      <c r="AB68" s="8" t="str">
        <f t="shared" si="12"/>
        <v/>
      </c>
      <c r="AC68" s="5" t="str">
        <f t="shared" si="13"/>
        <v>,		// 64 - '@'</v>
      </c>
      <c r="AD68" s="4"/>
      <c r="AE68" s="31" t="str">
        <f t="shared" si="14"/>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5">IF(D69&lt;&gt;0,D69,IF(N69&lt;&gt;0,10,IF(M69&lt;&gt;0,9,IF(L69&lt;&gt;0,8,IF(K69&lt;&gt;0,7,IF(J69&lt;&gt;0,6,IF(I69&lt;&gt;0,5,IF(H69&lt;&gt;0,4,IF(G69&lt;&gt;0,3,IF(F69&lt;&gt;0,2,IF(E69&lt;&gt;0,1,0)))))))))))</f>
        <v>5</v>
      </c>
      <c r="Q69" s="4">
        <f t="shared" ref="Q69:Q131" si="16">IF($Q$2,P197,0)</f>
        <v>0</v>
      </c>
      <c r="R69" s="4">
        <f t="shared" ref="R69:R132" si="17">MAX(P69:Q69)</f>
        <v>5</v>
      </c>
      <c r="S69" s="8" t="str">
        <f t="shared" ref="S69:S132" si="18">IF($R69&gt;=S$3,", "&amp;E69,"")</f>
        <v>, 124</v>
      </c>
      <c r="T69" s="8" t="str">
        <f t="shared" ref="T69:T132" si="19">IF($R69&gt;=T$3,", "&amp;F69,"")</f>
        <v>, 18</v>
      </c>
      <c r="U69" s="8" t="str">
        <f t="shared" ref="U69:U132" si="20">IF($R69&gt;=U$3,", "&amp;G69,"")</f>
        <v>, 17</v>
      </c>
      <c r="V69" s="8" t="str">
        <f t="shared" ref="V69:V132" si="21">IF($R69&gt;=V$3,", "&amp;H69,"")</f>
        <v>, 18</v>
      </c>
      <c r="W69" s="8" t="str">
        <f t="shared" ref="W69:W132" si="22">IF($R69&gt;=W$3,", "&amp;I69,"")</f>
        <v>, 124</v>
      </c>
      <c r="X69" s="8" t="str">
        <f t="shared" ref="X69:X132" si="23">IF($R69&gt;=X$3,", "&amp;J69,"")</f>
        <v/>
      </c>
      <c r="Y69" s="8" t="str">
        <f t="shared" ref="Y69:Y132" si="24">IF($R69&gt;=Y$3,", "&amp;K69,"")</f>
        <v/>
      </c>
      <c r="Z69" s="8" t="str">
        <f t="shared" ref="Z69:Z132" si="25">IF($R69&gt;=Z$3,", "&amp;L69,"")</f>
        <v/>
      </c>
      <c r="AA69" s="8" t="str">
        <f t="shared" ref="AA69:AA132" si="26">IF($R69&gt;=AA$3,", "&amp;M69,"")</f>
        <v/>
      </c>
      <c r="AB69" s="8" t="str">
        <f t="shared" ref="AB69:AB132" si="27">IF($R69&gt;=AB$3,", "&amp;N69,"")</f>
        <v/>
      </c>
      <c r="AC69" s="5" t="str">
        <f t="shared" ref="AC69:AC132" si="28">","&amp;  CHAR(9) &amp; CHAR(9) &amp;"// " &amp; A69 &amp; IF(LEN(C69)&lt;&gt;0," - " &amp;  CHAR(39) &amp; C69 &amp; CHAR(39),"")</f>
        <v>,		// 65 - 'A'</v>
      </c>
      <c r="AD69" s="4"/>
      <c r="AE69" s="31" t="str">
        <f t="shared" si="14"/>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5"/>
        <v>5</v>
      </c>
      <c r="Q70" s="4">
        <f t="shared" si="16"/>
        <v>0</v>
      </c>
      <c r="R70" s="4">
        <f t="shared" si="17"/>
        <v>5</v>
      </c>
      <c r="S70" s="8" t="str">
        <f t="shared" si="18"/>
        <v>, 127</v>
      </c>
      <c r="T70" s="8" t="str">
        <f t="shared" si="19"/>
        <v>, 73</v>
      </c>
      <c r="U70" s="8" t="str">
        <f t="shared" si="20"/>
        <v>, 73</v>
      </c>
      <c r="V70" s="8" t="str">
        <f t="shared" si="21"/>
        <v>, 73</v>
      </c>
      <c r="W70" s="8" t="str">
        <f t="shared" si="22"/>
        <v>, 54</v>
      </c>
      <c r="X70" s="8" t="str">
        <f t="shared" si="23"/>
        <v/>
      </c>
      <c r="Y70" s="8" t="str">
        <f t="shared" si="24"/>
        <v/>
      </c>
      <c r="Z70" s="8" t="str">
        <f t="shared" si="25"/>
        <v/>
      </c>
      <c r="AA70" s="8" t="str">
        <f t="shared" si="26"/>
        <v/>
      </c>
      <c r="AB70" s="8" t="str">
        <f t="shared" si="27"/>
        <v/>
      </c>
      <c r="AC70" s="5" t="str">
        <f t="shared" si="28"/>
        <v>,		// 66 - 'B'</v>
      </c>
      <c r="AD70" s="4"/>
      <c r="AE70" s="31" t="str">
        <f t="shared" ref="AE70:AE133" si="29">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5"/>
        <v>5</v>
      </c>
      <c r="Q71" s="4">
        <f t="shared" si="16"/>
        <v>0</v>
      </c>
      <c r="R71" s="4">
        <f t="shared" si="17"/>
        <v>5</v>
      </c>
      <c r="S71" s="8" t="str">
        <f t="shared" si="18"/>
        <v>, 62</v>
      </c>
      <c r="T71" s="8" t="str">
        <f t="shared" si="19"/>
        <v>, 65</v>
      </c>
      <c r="U71" s="8" t="str">
        <f t="shared" si="20"/>
        <v>, 65</v>
      </c>
      <c r="V71" s="8" t="str">
        <f t="shared" si="21"/>
        <v>, 65</v>
      </c>
      <c r="W71" s="8" t="str">
        <f t="shared" si="22"/>
        <v>, 34</v>
      </c>
      <c r="X71" s="8" t="str">
        <f t="shared" si="23"/>
        <v/>
      </c>
      <c r="Y71" s="8" t="str">
        <f t="shared" si="24"/>
        <v/>
      </c>
      <c r="Z71" s="8" t="str">
        <f t="shared" si="25"/>
        <v/>
      </c>
      <c r="AA71" s="8" t="str">
        <f t="shared" si="26"/>
        <v/>
      </c>
      <c r="AB71" s="8" t="str">
        <f t="shared" si="27"/>
        <v/>
      </c>
      <c r="AC71" s="5" t="str">
        <f t="shared" si="28"/>
        <v>,		// 67 - 'C'</v>
      </c>
      <c r="AD71" s="4"/>
      <c r="AE71" s="31" t="str">
        <f t="shared" si="29"/>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5"/>
        <v>5</v>
      </c>
      <c r="Q72" s="4">
        <f t="shared" si="16"/>
        <v>0</v>
      </c>
      <c r="R72" s="4">
        <f t="shared" si="17"/>
        <v>5</v>
      </c>
      <c r="S72" s="8" t="str">
        <f t="shared" si="18"/>
        <v>, 127</v>
      </c>
      <c r="T72" s="8" t="str">
        <f t="shared" si="19"/>
        <v>, 65</v>
      </c>
      <c r="U72" s="8" t="str">
        <f t="shared" si="20"/>
        <v>, 65</v>
      </c>
      <c r="V72" s="8" t="str">
        <f t="shared" si="21"/>
        <v>, 65</v>
      </c>
      <c r="W72" s="8" t="str">
        <f t="shared" si="22"/>
        <v>, 62</v>
      </c>
      <c r="X72" s="8" t="str">
        <f t="shared" si="23"/>
        <v/>
      </c>
      <c r="Y72" s="8" t="str">
        <f t="shared" si="24"/>
        <v/>
      </c>
      <c r="Z72" s="8" t="str">
        <f t="shared" si="25"/>
        <v/>
      </c>
      <c r="AA72" s="8" t="str">
        <f t="shared" si="26"/>
        <v/>
      </c>
      <c r="AB72" s="8" t="str">
        <f t="shared" si="27"/>
        <v/>
      </c>
      <c r="AC72" s="5" t="str">
        <f t="shared" si="28"/>
        <v>,		// 68 - 'D'</v>
      </c>
      <c r="AD72" s="4"/>
      <c r="AE72" s="31" t="str">
        <f t="shared" si="29"/>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5"/>
        <v>5</v>
      </c>
      <c r="Q73" s="4">
        <f t="shared" si="16"/>
        <v>0</v>
      </c>
      <c r="R73" s="4">
        <f t="shared" si="17"/>
        <v>5</v>
      </c>
      <c r="S73" s="8" t="str">
        <f t="shared" si="18"/>
        <v>, 127</v>
      </c>
      <c r="T73" s="8" t="str">
        <f t="shared" si="19"/>
        <v>, 73</v>
      </c>
      <c r="U73" s="8" t="str">
        <f t="shared" si="20"/>
        <v>, 73</v>
      </c>
      <c r="V73" s="8" t="str">
        <f t="shared" si="21"/>
        <v>, 73</v>
      </c>
      <c r="W73" s="8" t="str">
        <f t="shared" si="22"/>
        <v>, 65</v>
      </c>
      <c r="X73" s="8" t="str">
        <f t="shared" si="23"/>
        <v/>
      </c>
      <c r="Y73" s="8" t="str">
        <f t="shared" si="24"/>
        <v/>
      </c>
      <c r="Z73" s="8" t="str">
        <f t="shared" si="25"/>
        <v/>
      </c>
      <c r="AA73" s="8" t="str">
        <f t="shared" si="26"/>
        <v/>
      </c>
      <c r="AB73" s="8" t="str">
        <f t="shared" si="27"/>
        <v/>
      </c>
      <c r="AC73" s="5" t="str">
        <f t="shared" si="28"/>
        <v>,		// 69 - 'E'</v>
      </c>
      <c r="AD73" s="4"/>
      <c r="AE73" s="31" t="str">
        <f t="shared" si="29"/>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5"/>
        <v>5</v>
      </c>
      <c r="Q74" s="4">
        <f t="shared" si="16"/>
        <v>0</v>
      </c>
      <c r="R74" s="4">
        <f t="shared" si="17"/>
        <v>5</v>
      </c>
      <c r="S74" s="8" t="str">
        <f t="shared" si="18"/>
        <v>, 127</v>
      </c>
      <c r="T74" s="8" t="str">
        <f t="shared" si="19"/>
        <v>, 9</v>
      </c>
      <c r="U74" s="8" t="str">
        <f t="shared" si="20"/>
        <v>, 9</v>
      </c>
      <c r="V74" s="8" t="str">
        <f t="shared" si="21"/>
        <v>, 9</v>
      </c>
      <c r="W74" s="8" t="str">
        <f t="shared" si="22"/>
        <v>, 1</v>
      </c>
      <c r="X74" s="8" t="str">
        <f t="shared" si="23"/>
        <v/>
      </c>
      <c r="Y74" s="8" t="str">
        <f t="shared" si="24"/>
        <v/>
      </c>
      <c r="Z74" s="8" t="str">
        <f t="shared" si="25"/>
        <v/>
      </c>
      <c r="AA74" s="8" t="str">
        <f t="shared" si="26"/>
        <v/>
      </c>
      <c r="AB74" s="8" t="str">
        <f t="shared" si="27"/>
        <v/>
      </c>
      <c r="AC74" s="5" t="str">
        <f t="shared" si="28"/>
        <v>,		// 70 - 'F'</v>
      </c>
      <c r="AD74" s="4"/>
      <c r="AE74" s="31" t="str">
        <f t="shared" si="29"/>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5"/>
        <v>5</v>
      </c>
      <c r="Q75" s="4">
        <f t="shared" si="16"/>
        <v>0</v>
      </c>
      <c r="R75" s="4">
        <f t="shared" si="17"/>
        <v>5</v>
      </c>
      <c r="S75" s="8" t="str">
        <f t="shared" si="18"/>
        <v>, 62</v>
      </c>
      <c r="T75" s="8" t="str">
        <f t="shared" si="19"/>
        <v>, 65</v>
      </c>
      <c r="U75" s="8" t="str">
        <f t="shared" si="20"/>
        <v>, 65</v>
      </c>
      <c r="V75" s="8" t="str">
        <f t="shared" si="21"/>
        <v>, 81</v>
      </c>
      <c r="W75" s="8" t="str">
        <f t="shared" si="22"/>
        <v>, 115</v>
      </c>
      <c r="X75" s="8" t="str">
        <f t="shared" si="23"/>
        <v/>
      </c>
      <c r="Y75" s="8" t="str">
        <f t="shared" si="24"/>
        <v/>
      </c>
      <c r="Z75" s="8" t="str">
        <f t="shared" si="25"/>
        <v/>
      </c>
      <c r="AA75" s="8" t="str">
        <f t="shared" si="26"/>
        <v/>
      </c>
      <c r="AB75" s="8" t="str">
        <f t="shared" si="27"/>
        <v/>
      </c>
      <c r="AC75" s="5" t="str">
        <f t="shared" si="28"/>
        <v>,		// 71 - 'G'</v>
      </c>
      <c r="AD75" s="4"/>
      <c r="AE75" s="31" t="str">
        <f t="shared" si="29"/>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5"/>
        <v>5</v>
      </c>
      <c r="Q76" s="4">
        <f t="shared" si="16"/>
        <v>0</v>
      </c>
      <c r="R76" s="4">
        <f t="shared" si="17"/>
        <v>5</v>
      </c>
      <c r="S76" s="8" t="str">
        <f t="shared" si="18"/>
        <v>, 127</v>
      </c>
      <c r="T76" s="8" t="str">
        <f t="shared" si="19"/>
        <v>, 8</v>
      </c>
      <c r="U76" s="8" t="str">
        <f t="shared" si="20"/>
        <v>, 8</v>
      </c>
      <c r="V76" s="8" t="str">
        <f t="shared" si="21"/>
        <v>, 8</v>
      </c>
      <c r="W76" s="8" t="str">
        <f t="shared" si="22"/>
        <v>, 127</v>
      </c>
      <c r="X76" s="8" t="str">
        <f t="shared" si="23"/>
        <v/>
      </c>
      <c r="Y76" s="8" t="str">
        <f t="shared" si="24"/>
        <v/>
      </c>
      <c r="Z76" s="8" t="str">
        <f t="shared" si="25"/>
        <v/>
      </c>
      <c r="AA76" s="8" t="str">
        <f t="shared" si="26"/>
        <v/>
      </c>
      <c r="AB76" s="8" t="str">
        <f t="shared" si="27"/>
        <v/>
      </c>
      <c r="AC76" s="5" t="str">
        <f t="shared" si="28"/>
        <v>,		// 72 - 'H'</v>
      </c>
      <c r="AD76" s="4"/>
      <c r="AE76" s="31" t="str">
        <f t="shared" si="29"/>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5"/>
        <v>3</v>
      </c>
      <c r="Q77" s="4">
        <f t="shared" si="16"/>
        <v>0</v>
      </c>
      <c r="R77" s="4">
        <f t="shared" si="17"/>
        <v>3</v>
      </c>
      <c r="S77" s="8" t="str">
        <f t="shared" si="18"/>
        <v>, 65</v>
      </c>
      <c r="T77" s="8" t="str">
        <f t="shared" si="19"/>
        <v>, 127</v>
      </c>
      <c r="U77" s="8" t="str">
        <f t="shared" si="20"/>
        <v>, 65</v>
      </c>
      <c r="V77" s="8" t="str">
        <f t="shared" si="21"/>
        <v/>
      </c>
      <c r="W77" s="8" t="str">
        <f t="shared" si="22"/>
        <v/>
      </c>
      <c r="X77" s="8" t="str">
        <f t="shared" si="23"/>
        <v/>
      </c>
      <c r="Y77" s="8" t="str">
        <f t="shared" si="24"/>
        <v/>
      </c>
      <c r="Z77" s="8" t="str">
        <f t="shared" si="25"/>
        <v/>
      </c>
      <c r="AA77" s="8" t="str">
        <f t="shared" si="26"/>
        <v/>
      </c>
      <c r="AB77" s="8" t="str">
        <f t="shared" si="27"/>
        <v/>
      </c>
      <c r="AC77" s="5" t="str">
        <f t="shared" si="28"/>
        <v>,		// 73 - 'I'</v>
      </c>
      <c r="AD77" s="4"/>
      <c r="AE77" s="31" t="str">
        <f t="shared" si="29"/>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5"/>
        <v>5</v>
      </c>
      <c r="Q78" s="4">
        <f t="shared" si="16"/>
        <v>0</v>
      </c>
      <c r="R78" s="4">
        <f t="shared" si="17"/>
        <v>5</v>
      </c>
      <c r="S78" s="8" t="str">
        <f t="shared" si="18"/>
        <v>, 32</v>
      </c>
      <c r="T78" s="8" t="str">
        <f t="shared" si="19"/>
        <v>, 64</v>
      </c>
      <c r="U78" s="8" t="str">
        <f t="shared" si="20"/>
        <v>, 65</v>
      </c>
      <c r="V78" s="8" t="str">
        <f t="shared" si="21"/>
        <v>, 63</v>
      </c>
      <c r="W78" s="8" t="str">
        <f t="shared" si="22"/>
        <v>, 1</v>
      </c>
      <c r="X78" s="8" t="str">
        <f t="shared" si="23"/>
        <v/>
      </c>
      <c r="Y78" s="8" t="str">
        <f t="shared" si="24"/>
        <v/>
      </c>
      <c r="Z78" s="8" t="str">
        <f t="shared" si="25"/>
        <v/>
      </c>
      <c r="AA78" s="8" t="str">
        <f t="shared" si="26"/>
        <v/>
      </c>
      <c r="AB78" s="8" t="str">
        <f t="shared" si="27"/>
        <v/>
      </c>
      <c r="AC78" s="5" t="str">
        <f t="shared" si="28"/>
        <v>,		// 74 - 'J'</v>
      </c>
      <c r="AD78" s="4"/>
      <c r="AE78" s="31" t="str">
        <f t="shared" si="29"/>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5"/>
        <v>5</v>
      </c>
      <c r="Q79" s="4">
        <f t="shared" si="16"/>
        <v>0</v>
      </c>
      <c r="R79" s="4">
        <f t="shared" si="17"/>
        <v>5</v>
      </c>
      <c r="S79" s="8" t="str">
        <f t="shared" si="18"/>
        <v>, 127</v>
      </c>
      <c r="T79" s="8" t="str">
        <f t="shared" si="19"/>
        <v>, 8</v>
      </c>
      <c r="U79" s="8" t="str">
        <f t="shared" si="20"/>
        <v>, 20</v>
      </c>
      <c r="V79" s="8" t="str">
        <f t="shared" si="21"/>
        <v>, 34</v>
      </c>
      <c r="W79" s="8" t="str">
        <f t="shared" si="22"/>
        <v>, 65</v>
      </c>
      <c r="X79" s="8" t="str">
        <f t="shared" si="23"/>
        <v/>
      </c>
      <c r="Y79" s="8" t="str">
        <f t="shared" si="24"/>
        <v/>
      </c>
      <c r="Z79" s="8" t="str">
        <f t="shared" si="25"/>
        <v/>
      </c>
      <c r="AA79" s="8" t="str">
        <f t="shared" si="26"/>
        <v/>
      </c>
      <c r="AB79" s="8" t="str">
        <f t="shared" si="27"/>
        <v/>
      </c>
      <c r="AC79" s="5" t="str">
        <f t="shared" si="28"/>
        <v>,		// 75 - 'K'</v>
      </c>
      <c r="AD79" s="4"/>
      <c r="AE79" s="31" t="str">
        <f t="shared" si="29"/>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5"/>
        <v>5</v>
      </c>
      <c r="Q80" s="4">
        <f t="shared" si="16"/>
        <v>0</v>
      </c>
      <c r="R80" s="4">
        <f t="shared" si="17"/>
        <v>5</v>
      </c>
      <c r="S80" s="8" t="str">
        <f t="shared" si="18"/>
        <v>, 127</v>
      </c>
      <c r="T80" s="8" t="str">
        <f t="shared" si="19"/>
        <v>, 64</v>
      </c>
      <c r="U80" s="8" t="str">
        <f t="shared" si="20"/>
        <v>, 64</v>
      </c>
      <c r="V80" s="8" t="str">
        <f t="shared" si="21"/>
        <v>, 64</v>
      </c>
      <c r="W80" s="8" t="str">
        <f t="shared" si="22"/>
        <v>, 64</v>
      </c>
      <c r="X80" s="8" t="str">
        <f t="shared" si="23"/>
        <v/>
      </c>
      <c r="Y80" s="8" t="str">
        <f t="shared" si="24"/>
        <v/>
      </c>
      <c r="Z80" s="8" t="str">
        <f t="shared" si="25"/>
        <v/>
      </c>
      <c r="AA80" s="8" t="str">
        <f t="shared" si="26"/>
        <v/>
      </c>
      <c r="AB80" s="8" t="str">
        <f t="shared" si="27"/>
        <v/>
      </c>
      <c r="AC80" s="5" t="str">
        <f t="shared" si="28"/>
        <v>,		// 76 - 'L'</v>
      </c>
      <c r="AD80" s="4"/>
      <c r="AE80" s="31" t="str">
        <f t="shared" si="29"/>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5"/>
        <v>5</v>
      </c>
      <c r="Q81" s="4">
        <f t="shared" si="16"/>
        <v>0</v>
      </c>
      <c r="R81" s="4">
        <f t="shared" si="17"/>
        <v>5</v>
      </c>
      <c r="S81" s="8" t="str">
        <f t="shared" si="18"/>
        <v>, 127</v>
      </c>
      <c r="T81" s="8" t="str">
        <f t="shared" si="19"/>
        <v>, 2</v>
      </c>
      <c r="U81" s="8" t="str">
        <f t="shared" si="20"/>
        <v>, 28</v>
      </c>
      <c r="V81" s="8" t="str">
        <f t="shared" si="21"/>
        <v>, 2</v>
      </c>
      <c r="W81" s="8" t="str">
        <f t="shared" si="22"/>
        <v>, 127</v>
      </c>
      <c r="X81" s="8" t="str">
        <f t="shared" si="23"/>
        <v/>
      </c>
      <c r="Y81" s="8" t="str">
        <f t="shared" si="24"/>
        <v/>
      </c>
      <c r="Z81" s="8" t="str">
        <f t="shared" si="25"/>
        <v/>
      </c>
      <c r="AA81" s="8" t="str">
        <f t="shared" si="26"/>
        <v/>
      </c>
      <c r="AB81" s="8" t="str">
        <f t="shared" si="27"/>
        <v/>
      </c>
      <c r="AC81" s="5" t="str">
        <f t="shared" si="28"/>
        <v>,		// 77 - 'M'</v>
      </c>
      <c r="AD81" s="4"/>
      <c r="AE81" s="31" t="str">
        <f t="shared" si="29"/>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5"/>
        <v>5</v>
      </c>
      <c r="Q82" s="4">
        <f t="shared" si="16"/>
        <v>0</v>
      </c>
      <c r="R82" s="4">
        <f t="shared" si="17"/>
        <v>5</v>
      </c>
      <c r="S82" s="8" t="str">
        <f t="shared" si="18"/>
        <v>, 127</v>
      </c>
      <c r="T82" s="8" t="str">
        <f t="shared" si="19"/>
        <v>, 4</v>
      </c>
      <c r="U82" s="8" t="str">
        <f t="shared" si="20"/>
        <v>, 8</v>
      </c>
      <c r="V82" s="8" t="str">
        <f t="shared" si="21"/>
        <v>, 16</v>
      </c>
      <c r="W82" s="8" t="str">
        <f t="shared" si="22"/>
        <v>, 127</v>
      </c>
      <c r="X82" s="8" t="str">
        <f t="shared" si="23"/>
        <v/>
      </c>
      <c r="Y82" s="8" t="str">
        <f t="shared" si="24"/>
        <v/>
      </c>
      <c r="Z82" s="8" t="str">
        <f t="shared" si="25"/>
        <v/>
      </c>
      <c r="AA82" s="8" t="str">
        <f t="shared" si="26"/>
        <v/>
      </c>
      <c r="AB82" s="8" t="str">
        <f t="shared" si="27"/>
        <v/>
      </c>
      <c r="AC82" s="5" t="str">
        <f t="shared" si="28"/>
        <v>,		// 78 - 'N'</v>
      </c>
      <c r="AD82" s="4"/>
      <c r="AE82" s="31" t="str">
        <f t="shared" si="29"/>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5"/>
        <v>5</v>
      </c>
      <c r="Q83" s="4">
        <f t="shared" si="16"/>
        <v>0</v>
      </c>
      <c r="R83" s="4">
        <f t="shared" si="17"/>
        <v>5</v>
      </c>
      <c r="S83" s="8" t="str">
        <f t="shared" si="18"/>
        <v>, 62</v>
      </c>
      <c r="T83" s="8" t="str">
        <f t="shared" si="19"/>
        <v>, 65</v>
      </c>
      <c r="U83" s="8" t="str">
        <f t="shared" si="20"/>
        <v>, 65</v>
      </c>
      <c r="V83" s="8" t="str">
        <f t="shared" si="21"/>
        <v>, 65</v>
      </c>
      <c r="W83" s="8" t="str">
        <f t="shared" si="22"/>
        <v>, 62</v>
      </c>
      <c r="X83" s="8" t="str">
        <f t="shared" si="23"/>
        <v/>
      </c>
      <c r="Y83" s="8" t="str">
        <f t="shared" si="24"/>
        <v/>
      </c>
      <c r="Z83" s="8" t="str">
        <f t="shared" si="25"/>
        <v/>
      </c>
      <c r="AA83" s="8" t="str">
        <f t="shared" si="26"/>
        <v/>
      </c>
      <c r="AB83" s="8" t="str">
        <f t="shared" si="27"/>
        <v/>
      </c>
      <c r="AC83" s="5" t="str">
        <f t="shared" si="28"/>
        <v>,		// 79 - 'O'</v>
      </c>
      <c r="AD83" s="4"/>
      <c r="AE83" s="31" t="str">
        <f t="shared" si="29"/>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5"/>
        <v>5</v>
      </c>
      <c r="Q84" s="4">
        <f t="shared" si="16"/>
        <v>0</v>
      </c>
      <c r="R84" s="4">
        <f t="shared" si="17"/>
        <v>5</v>
      </c>
      <c r="S84" s="8" t="str">
        <f t="shared" si="18"/>
        <v>, 127</v>
      </c>
      <c r="T84" s="8" t="str">
        <f t="shared" si="19"/>
        <v>, 9</v>
      </c>
      <c r="U84" s="8" t="str">
        <f t="shared" si="20"/>
        <v>, 9</v>
      </c>
      <c r="V84" s="8" t="str">
        <f t="shared" si="21"/>
        <v>, 9</v>
      </c>
      <c r="W84" s="8" t="str">
        <f t="shared" si="22"/>
        <v>, 6</v>
      </c>
      <c r="X84" s="8" t="str">
        <f t="shared" si="23"/>
        <v/>
      </c>
      <c r="Y84" s="8" t="str">
        <f t="shared" si="24"/>
        <v/>
      </c>
      <c r="Z84" s="8" t="str">
        <f t="shared" si="25"/>
        <v/>
      </c>
      <c r="AA84" s="8" t="str">
        <f t="shared" si="26"/>
        <v/>
      </c>
      <c r="AB84" s="8" t="str">
        <f t="shared" si="27"/>
        <v/>
      </c>
      <c r="AC84" s="5" t="str">
        <f t="shared" si="28"/>
        <v>,		// 80 - 'P'</v>
      </c>
      <c r="AD84" s="4"/>
      <c r="AE84" s="31" t="str">
        <f t="shared" si="29"/>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5"/>
        <v>5</v>
      </c>
      <c r="Q85" s="4">
        <f t="shared" si="16"/>
        <v>0</v>
      </c>
      <c r="R85" s="4">
        <f t="shared" si="17"/>
        <v>5</v>
      </c>
      <c r="S85" s="8" t="str">
        <f t="shared" si="18"/>
        <v>, 62</v>
      </c>
      <c r="T85" s="8" t="str">
        <f t="shared" si="19"/>
        <v>, 65</v>
      </c>
      <c r="U85" s="8" t="str">
        <f t="shared" si="20"/>
        <v>, 81</v>
      </c>
      <c r="V85" s="8" t="str">
        <f t="shared" si="21"/>
        <v>, 33</v>
      </c>
      <c r="W85" s="8" t="str">
        <f t="shared" si="22"/>
        <v>, 94</v>
      </c>
      <c r="X85" s="8" t="str">
        <f t="shared" si="23"/>
        <v/>
      </c>
      <c r="Y85" s="8" t="str">
        <f t="shared" si="24"/>
        <v/>
      </c>
      <c r="Z85" s="8" t="str">
        <f t="shared" si="25"/>
        <v/>
      </c>
      <c r="AA85" s="8" t="str">
        <f t="shared" si="26"/>
        <v/>
      </c>
      <c r="AB85" s="8" t="str">
        <f t="shared" si="27"/>
        <v/>
      </c>
      <c r="AC85" s="5" t="str">
        <f t="shared" si="28"/>
        <v>,		// 81 - 'Q'</v>
      </c>
      <c r="AD85" s="4"/>
      <c r="AE85" s="31" t="str">
        <f t="shared" si="29"/>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5"/>
        <v>5</v>
      </c>
      <c r="Q86" s="4">
        <f t="shared" si="16"/>
        <v>0</v>
      </c>
      <c r="R86" s="4">
        <f t="shared" si="17"/>
        <v>5</v>
      </c>
      <c r="S86" s="8" t="str">
        <f t="shared" si="18"/>
        <v>, 127</v>
      </c>
      <c r="T86" s="8" t="str">
        <f t="shared" si="19"/>
        <v>, 9</v>
      </c>
      <c r="U86" s="8" t="str">
        <f t="shared" si="20"/>
        <v>, 25</v>
      </c>
      <c r="V86" s="8" t="str">
        <f t="shared" si="21"/>
        <v>, 41</v>
      </c>
      <c r="W86" s="8" t="str">
        <f t="shared" si="22"/>
        <v>, 70</v>
      </c>
      <c r="X86" s="8" t="str">
        <f t="shared" si="23"/>
        <v/>
      </c>
      <c r="Y86" s="8" t="str">
        <f t="shared" si="24"/>
        <v/>
      </c>
      <c r="Z86" s="8" t="str">
        <f t="shared" si="25"/>
        <v/>
      </c>
      <c r="AA86" s="8" t="str">
        <f t="shared" si="26"/>
        <v/>
      </c>
      <c r="AB86" s="8" t="str">
        <f t="shared" si="27"/>
        <v/>
      </c>
      <c r="AC86" s="5" t="str">
        <f t="shared" si="28"/>
        <v>,		// 82 - 'R'</v>
      </c>
      <c r="AD86" s="4"/>
      <c r="AE86" s="31" t="str">
        <f t="shared" si="29"/>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5"/>
        <v>5</v>
      </c>
      <c r="Q87" s="4">
        <f t="shared" si="16"/>
        <v>0</v>
      </c>
      <c r="R87" s="4">
        <f t="shared" si="17"/>
        <v>5</v>
      </c>
      <c r="S87" s="8" t="str">
        <f t="shared" si="18"/>
        <v>, 38</v>
      </c>
      <c r="T87" s="8" t="str">
        <f t="shared" si="19"/>
        <v>, 73</v>
      </c>
      <c r="U87" s="8" t="str">
        <f t="shared" si="20"/>
        <v>, 73</v>
      </c>
      <c r="V87" s="8" t="str">
        <f t="shared" si="21"/>
        <v>, 73</v>
      </c>
      <c r="W87" s="8" t="str">
        <f t="shared" si="22"/>
        <v>, 50</v>
      </c>
      <c r="X87" s="8" t="str">
        <f t="shared" si="23"/>
        <v/>
      </c>
      <c r="Y87" s="8" t="str">
        <f t="shared" si="24"/>
        <v/>
      </c>
      <c r="Z87" s="8" t="str">
        <f t="shared" si="25"/>
        <v/>
      </c>
      <c r="AA87" s="8" t="str">
        <f t="shared" si="26"/>
        <v/>
      </c>
      <c r="AB87" s="8" t="str">
        <f t="shared" si="27"/>
        <v/>
      </c>
      <c r="AC87" s="5" t="str">
        <f t="shared" si="28"/>
        <v>,		// 83 - 'S'</v>
      </c>
      <c r="AD87" s="4"/>
      <c r="AE87" s="31" t="str">
        <f t="shared" si="29"/>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5"/>
        <v>5</v>
      </c>
      <c r="Q88" s="4">
        <f t="shared" si="16"/>
        <v>0</v>
      </c>
      <c r="R88" s="4">
        <f t="shared" si="17"/>
        <v>5</v>
      </c>
      <c r="S88" s="8" t="str">
        <f t="shared" si="18"/>
        <v>, 3</v>
      </c>
      <c r="T88" s="8" t="str">
        <f t="shared" si="19"/>
        <v>, 1</v>
      </c>
      <c r="U88" s="8" t="str">
        <f t="shared" si="20"/>
        <v>, 127</v>
      </c>
      <c r="V88" s="8" t="str">
        <f t="shared" si="21"/>
        <v>, 1</v>
      </c>
      <c r="W88" s="8" t="str">
        <f t="shared" si="22"/>
        <v>, 3</v>
      </c>
      <c r="X88" s="8" t="str">
        <f t="shared" si="23"/>
        <v/>
      </c>
      <c r="Y88" s="8" t="str">
        <f t="shared" si="24"/>
        <v/>
      </c>
      <c r="Z88" s="8" t="str">
        <f t="shared" si="25"/>
        <v/>
      </c>
      <c r="AA88" s="8" t="str">
        <f t="shared" si="26"/>
        <v/>
      </c>
      <c r="AB88" s="8" t="str">
        <f t="shared" si="27"/>
        <v/>
      </c>
      <c r="AC88" s="5" t="str">
        <f t="shared" si="28"/>
        <v>,		// 84 - 'T'</v>
      </c>
      <c r="AD88" s="4"/>
      <c r="AE88" s="31" t="str">
        <f t="shared" si="29"/>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5"/>
        <v>5</v>
      </c>
      <c r="Q89" s="4">
        <f t="shared" si="16"/>
        <v>0</v>
      </c>
      <c r="R89" s="4">
        <f t="shared" si="17"/>
        <v>5</v>
      </c>
      <c r="S89" s="8" t="str">
        <f t="shared" si="18"/>
        <v>, 63</v>
      </c>
      <c r="T89" s="8" t="str">
        <f t="shared" si="19"/>
        <v>, 64</v>
      </c>
      <c r="U89" s="8" t="str">
        <f t="shared" si="20"/>
        <v>, 64</v>
      </c>
      <c r="V89" s="8" t="str">
        <f t="shared" si="21"/>
        <v>, 64</v>
      </c>
      <c r="W89" s="8" t="str">
        <f t="shared" si="22"/>
        <v>, 63</v>
      </c>
      <c r="X89" s="8" t="str">
        <f t="shared" si="23"/>
        <v/>
      </c>
      <c r="Y89" s="8" t="str">
        <f t="shared" si="24"/>
        <v/>
      </c>
      <c r="Z89" s="8" t="str">
        <f t="shared" si="25"/>
        <v/>
      </c>
      <c r="AA89" s="8" t="str">
        <f t="shared" si="26"/>
        <v/>
      </c>
      <c r="AB89" s="8" t="str">
        <f t="shared" si="27"/>
        <v/>
      </c>
      <c r="AC89" s="5" t="str">
        <f t="shared" si="28"/>
        <v>,		// 85 - 'U'</v>
      </c>
      <c r="AD89" s="4"/>
      <c r="AE89" s="31" t="str">
        <f t="shared" si="29"/>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5"/>
        <v>5</v>
      </c>
      <c r="Q90" s="4">
        <f t="shared" si="16"/>
        <v>0</v>
      </c>
      <c r="R90" s="4">
        <f t="shared" si="17"/>
        <v>5</v>
      </c>
      <c r="S90" s="8" t="str">
        <f t="shared" si="18"/>
        <v>, 31</v>
      </c>
      <c r="T90" s="8" t="str">
        <f t="shared" si="19"/>
        <v>, 32</v>
      </c>
      <c r="U90" s="8" t="str">
        <f t="shared" si="20"/>
        <v>, 64</v>
      </c>
      <c r="V90" s="8" t="str">
        <f t="shared" si="21"/>
        <v>, 32</v>
      </c>
      <c r="W90" s="8" t="str">
        <f t="shared" si="22"/>
        <v>, 31</v>
      </c>
      <c r="X90" s="8" t="str">
        <f t="shared" si="23"/>
        <v/>
      </c>
      <c r="Y90" s="8" t="str">
        <f t="shared" si="24"/>
        <v/>
      </c>
      <c r="Z90" s="8" t="str">
        <f t="shared" si="25"/>
        <v/>
      </c>
      <c r="AA90" s="8" t="str">
        <f t="shared" si="26"/>
        <v/>
      </c>
      <c r="AB90" s="8" t="str">
        <f t="shared" si="27"/>
        <v/>
      </c>
      <c r="AC90" s="5" t="str">
        <f t="shared" si="28"/>
        <v>,		// 86 - 'V'</v>
      </c>
      <c r="AD90" s="4"/>
      <c r="AE90" s="31" t="str">
        <f t="shared" si="29"/>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5"/>
        <v>5</v>
      </c>
      <c r="Q91" s="4">
        <f t="shared" si="16"/>
        <v>0</v>
      </c>
      <c r="R91" s="4">
        <f t="shared" si="17"/>
        <v>5</v>
      </c>
      <c r="S91" s="8" t="str">
        <f t="shared" si="18"/>
        <v>, 63</v>
      </c>
      <c r="T91" s="8" t="str">
        <f t="shared" si="19"/>
        <v>, 64</v>
      </c>
      <c r="U91" s="8" t="str">
        <f t="shared" si="20"/>
        <v>, 56</v>
      </c>
      <c r="V91" s="8" t="str">
        <f t="shared" si="21"/>
        <v>, 64</v>
      </c>
      <c r="W91" s="8" t="str">
        <f t="shared" si="22"/>
        <v>, 63</v>
      </c>
      <c r="X91" s="8" t="str">
        <f t="shared" si="23"/>
        <v/>
      </c>
      <c r="Y91" s="8" t="str">
        <f t="shared" si="24"/>
        <v/>
      </c>
      <c r="Z91" s="8" t="str">
        <f t="shared" si="25"/>
        <v/>
      </c>
      <c r="AA91" s="8" t="str">
        <f t="shared" si="26"/>
        <v/>
      </c>
      <c r="AB91" s="8" t="str">
        <f t="shared" si="27"/>
        <v/>
      </c>
      <c r="AC91" s="5" t="str">
        <f t="shared" si="28"/>
        <v>,		// 87 - 'W'</v>
      </c>
      <c r="AD91" s="4"/>
      <c r="AE91" s="31" t="str">
        <f t="shared" si="29"/>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5"/>
        <v>5</v>
      </c>
      <c r="Q92" s="4">
        <f t="shared" si="16"/>
        <v>0</v>
      </c>
      <c r="R92" s="4">
        <f t="shared" si="17"/>
        <v>5</v>
      </c>
      <c r="S92" s="8" t="str">
        <f t="shared" si="18"/>
        <v>, 99</v>
      </c>
      <c r="T92" s="8" t="str">
        <f t="shared" si="19"/>
        <v>, 20</v>
      </c>
      <c r="U92" s="8" t="str">
        <f t="shared" si="20"/>
        <v>, 8</v>
      </c>
      <c r="V92" s="8" t="str">
        <f t="shared" si="21"/>
        <v>, 20</v>
      </c>
      <c r="W92" s="8" t="str">
        <f t="shared" si="22"/>
        <v>, 99</v>
      </c>
      <c r="X92" s="8" t="str">
        <f t="shared" si="23"/>
        <v/>
      </c>
      <c r="Y92" s="8" t="str">
        <f t="shared" si="24"/>
        <v/>
      </c>
      <c r="Z92" s="8" t="str">
        <f t="shared" si="25"/>
        <v/>
      </c>
      <c r="AA92" s="8" t="str">
        <f t="shared" si="26"/>
        <v/>
      </c>
      <c r="AB92" s="8" t="str">
        <f t="shared" si="27"/>
        <v/>
      </c>
      <c r="AC92" s="5" t="str">
        <f t="shared" si="28"/>
        <v>,		// 88 - 'X'</v>
      </c>
      <c r="AD92" s="4"/>
      <c r="AE92" s="31" t="str">
        <f t="shared" si="29"/>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5"/>
        <v>5</v>
      </c>
      <c r="Q93" s="4">
        <f t="shared" si="16"/>
        <v>0</v>
      </c>
      <c r="R93" s="4">
        <f t="shared" si="17"/>
        <v>5</v>
      </c>
      <c r="S93" s="8" t="str">
        <f t="shared" si="18"/>
        <v>, 3</v>
      </c>
      <c r="T93" s="8" t="str">
        <f t="shared" si="19"/>
        <v>, 4</v>
      </c>
      <c r="U93" s="8" t="str">
        <f t="shared" si="20"/>
        <v>, 120</v>
      </c>
      <c r="V93" s="8" t="str">
        <f t="shared" si="21"/>
        <v>, 4</v>
      </c>
      <c r="W93" s="8" t="str">
        <f t="shared" si="22"/>
        <v>, 3</v>
      </c>
      <c r="X93" s="8" t="str">
        <f t="shared" si="23"/>
        <v/>
      </c>
      <c r="Y93" s="8" t="str">
        <f t="shared" si="24"/>
        <v/>
      </c>
      <c r="Z93" s="8" t="str">
        <f t="shared" si="25"/>
        <v/>
      </c>
      <c r="AA93" s="8" t="str">
        <f t="shared" si="26"/>
        <v/>
      </c>
      <c r="AB93" s="8" t="str">
        <f t="shared" si="27"/>
        <v/>
      </c>
      <c r="AC93" s="5" t="str">
        <f t="shared" si="28"/>
        <v>,		// 89 - 'Y'</v>
      </c>
      <c r="AD93" s="4"/>
      <c r="AE93" s="31" t="str">
        <f t="shared" si="29"/>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5"/>
        <v>5</v>
      </c>
      <c r="Q94" s="4">
        <f t="shared" si="16"/>
        <v>0</v>
      </c>
      <c r="R94" s="4">
        <f t="shared" si="17"/>
        <v>5</v>
      </c>
      <c r="S94" s="8" t="str">
        <f t="shared" si="18"/>
        <v>, 97</v>
      </c>
      <c r="T94" s="8" t="str">
        <f t="shared" si="19"/>
        <v>, 89</v>
      </c>
      <c r="U94" s="8" t="str">
        <f t="shared" si="20"/>
        <v>, 73</v>
      </c>
      <c r="V94" s="8" t="str">
        <f t="shared" si="21"/>
        <v>, 77</v>
      </c>
      <c r="W94" s="8" t="str">
        <f t="shared" si="22"/>
        <v>, 67</v>
      </c>
      <c r="X94" s="8" t="str">
        <f t="shared" si="23"/>
        <v/>
      </c>
      <c r="Y94" s="8" t="str">
        <f t="shared" si="24"/>
        <v/>
      </c>
      <c r="Z94" s="8" t="str">
        <f t="shared" si="25"/>
        <v/>
      </c>
      <c r="AA94" s="8" t="str">
        <f t="shared" si="26"/>
        <v/>
      </c>
      <c r="AB94" s="8" t="str">
        <f t="shared" si="27"/>
        <v/>
      </c>
      <c r="AC94" s="5" t="str">
        <f t="shared" si="28"/>
        <v>,		// 90 - 'Z'</v>
      </c>
      <c r="AD94" s="4"/>
      <c r="AE94" s="31" t="str">
        <f t="shared" si="29"/>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5"/>
        <v>3</v>
      </c>
      <c r="Q95" s="4">
        <f t="shared" si="16"/>
        <v>0</v>
      </c>
      <c r="R95" s="4">
        <f t="shared" si="17"/>
        <v>3</v>
      </c>
      <c r="S95" s="8" t="str">
        <f t="shared" si="18"/>
        <v>, 127</v>
      </c>
      <c r="T95" s="8" t="str">
        <f t="shared" si="19"/>
        <v>, 65</v>
      </c>
      <c r="U95" s="8" t="str">
        <f t="shared" si="20"/>
        <v>, 65</v>
      </c>
      <c r="V95" s="8" t="str">
        <f t="shared" si="21"/>
        <v/>
      </c>
      <c r="W95" s="8" t="str">
        <f t="shared" si="22"/>
        <v/>
      </c>
      <c r="X95" s="8" t="str">
        <f t="shared" si="23"/>
        <v/>
      </c>
      <c r="Y95" s="8" t="str">
        <f t="shared" si="24"/>
        <v/>
      </c>
      <c r="Z95" s="8" t="str">
        <f t="shared" si="25"/>
        <v/>
      </c>
      <c r="AA95" s="8" t="str">
        <f t="shared" si="26"/>
        <v/>
      </c>
      <c r="AB95" s="8" t="str">
        <f t="shared" si="27"/>
        <v/>
      </c>
      <c r="AC95" s="5" t="str">
        <f t="shared" si="28"/>
        <v>,		// 91 - '['</v>
      </c>
      <c r="AD95" s="4"/>
      <c r="AE95" s="31" t="str">
        <f t="shared" si="29"/>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5"/>
        <v>5</v>
      </c>
      <c r="Q96" s="4">
        <f t="shared" si="16"/>
        <v>0</v>
      </c>
      <c r="R96" s="4">
        <f t="shared" si="17"/>
        <v>5</v>
      </c>
      <c r="S96" s="8" t="str">
        <f t="shared" si="18"/>
        <v>, 2</v>
      </c>
      <c r="T96" s="8" t="str">
        <f t="shared" si="19"/>
        <v>, 4</v>
      </c>
      <c r="U96" s="8" t="str">
        <f t="shared" si="20"/>
        <v>, 8</v>
      </c>
      <c r="V96" s="8" t="str">
        <f t="shared" si="21"/>
        <v>, 16</v>
      </c>
      <c r="W96" s="8" t="str">
        <f t="shared" si="22"/>
        <v>, 32</v>
      </c>
      <c r="X96" s="8" t="str">
        <f t="shared" si="23"/>
        <v/>
      </c>
      <c r="Y96" s="8" t="str">
        <f t="shared" si="24"/>
        <v/>
      </c>
      <c r="Z96" s="8" t="str">
        <f t="shared" si="25"/>
        <v/>
      </c>
      <c r="AA96" s="8" t="str">
        <f t="shared" si="26"/>
        <v/>
      </c>
      <c r="AB96" s="8" t="str">
        <f t="shared" si="27"/>
        <v/>
      </c>
      <c r="AC96" s="5" t="str">
        <f t="shared" si="28"/>
        <v>,		// 92 - '\'</v>
      </c>
      <c r="AD96" s="4"/>
      <c r="AE96" s="31" t="str">
        <f t="shared" si="29"/>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5"/>
        <v>3</v>
      </c>
      <c r="Q97" s="4">
        <f t="shared" si="16"/>
        <v>0</v>
      </c>
      <c r="R97" s="4">
        <f t="shared" si="17"/>
        <v>3</v>
      </c>
      <c r="S97" s="8" t="str">
        <f t="shared" si="18"/>
        <v>, 65</v>
      </c>
      <c r="T97" s="8" t="str">
        <f t="shared" si="19"/>
        <v>, 65</v>
      </c>
      <c r="U97" s="8" t="str">
        <f t="shared" si="20"/>
        <v>, 127</v>
      </c>
      <c r="V97" s="8" t="str">
        <f t="shared" si="21"/>
        <v/>
      </c>
      <c r="W97" s="8" t="str">
        <f t="shared" si="22"/>
        <v/>
      </c>
      <c r="X97" s="8" t="str">
        <f t="shared" si="23"/>
        <v/>
      </c>
      <c r="Y97" s="8" t="str">
        <f t="shared" si="24"/>
        <v/>
      </c>
      <c r="Z97" s="8" t="str">
        <f t="shared" si="25"/>
        <v/>
      </c>
      <c r="AA97" s="8" t="str">
        <f t="shared" si="26"/>
        <v/>
      </c>
      <c r="AB97" s="8" t="str">
        <f t="shared" si="27"/>
        <v/>
      </c>
      <c r="AC97" s="5" t="str">
        <f t="shared" si="28"/>
        <v>,		// 93 - ']'</v>
      </c>
      <c r="AD97" s="4"/>
      <c r="AE97" s="31" t="str">
        <f t="shared" si="29"/>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5"/>
        <v>5</v>
      </c>
      <c r="Q98" s="4">
        <f t="shared" si="16"/>
        <v>0</v>
      </c>
      <c r="R98" s="4">
        <f t="shared" si="17"/>
        <v>5</v>
      </c>
      <c r="S98" s="8" t="str">
        <f t="shared" si="18"/>
        <v>, 4</v>
      </c>
      <c r="T98" s="8" t="str">
        <f t="shared" si="19"/>
        <v>, 2</v>
      </c>
      <c r="U98" s="8" t="str">
        <f t="shared" si="20"/>
        <v>, 1</v>
      </c>
      <c r="V98" s="8" t="str">
        <f t="shared" si="21"/>
        <v>, 2</v>
      </c>
      <c r="W98" s="8" t="str">
        <f t="shared" si="22"/>
        <v>, 4</v>
      </c>
      <c r="X98" s="8" t="str">
        <f t="shared" si="23"/>
        <v/>
      </c>
      <c r="Y98" s="8" t="str">
        <f t="shared" si="24"/>
        <v/>
      </c>
      <c r="Z98" s="8" t="str">
        <f t="shared" si="25"/>
        <v/>
      </c>
      <c r="AA98" s="8" t="str">
        <f t="shared" si="26"/>
        <v/>
      </c>
      <c r="AB98" s="8" t="str">
        <f t="shared" si="27"/>
        <v/>
      </c>
      <c r="AC98" s="5" t="str">
        <f t="shared" si="28"/>
        <v>,		// 94 - '^'</v>
      </c>
      <c r="AD98" s="4"/>
      <c r="AE98" s="31" t="str">
        <f t="shared" si="29"/>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5"/>
        <v>5</v>
      </c>
      <c r="Q99" s="4">
        <f t="shared" si="16"/>
        <v>0</v>
      </c>
      <c r="R99" s="4">
        <f t="shared" si="17"/>
        <v>5</v>
      </c>
      <c r="S99" s="8" t="str">
        <f t="shared" si="18"/>
        <v>, 64</v>
      </c>
      <c r="T99" s="8" t="str">
        <f t="shared" si="19"/>
        <v>, 64</v>
      </c>
      <c r="U99" s="8" t="str">
        <f t="shared" si="20"/>
        <v>, 64</v>
      </c>
      <c r="V99" s="8" t="str">
        <f t="shared" si="21"/>
        <v>, 64</v>
      </c>
      <c r="W99" s="8" t="str">
        <f t="shared" si="22"/>
        <v>, 64</v>
      </c>
      <c r="X99" s="8" t="str">
        <f t="shared" si="23"/>
        <v/>
      </c>
      <c r="Y99" s="8" t="str">
        <f t="shared" si="24"/>
        <v/>
      </c>
      <c r="Z99" s="8" t="str">
        <f t="shared" si="25"/>
        <v/>
      </c>
      <c r="AA99" s="8" t="str">
        <f t="shared" si="26"/>
        <v/>
      </c>
      <c r="AB99" s="8" t="str">
        <f t="shared" si="27"/>
        <v/>
      </c>
      <c r="AC99" s="5" t="str">
        <f t="shared" si="28"/>
        <v>,		// 95 - '_'</v>
      </c>
      <c r="AD99" s="4"/>
      <c r="AE99" s="31" t="str">
        <f t="shared" si="29"/>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5"/>
        <v>3</v>
      </c>
      <c r="Q100" s="4">
        <f t="shared" si="16"/>
        <v>0</v>
      </c>
      <c r="R100" s="4">
        <f t="shared" si="17"/>
        <v>3</v>
      </c>
      <c r="S100" s="8" t="str">
        <f t="shared" si="18"/>
        <v>, 3</v>
      </c>
      <c r="T100" s="8" t="str">
        <f t="shared" si="19"/>
        <v>, 7</v>
      </c>
      <c r="U100" s="8" t="str">
        <f t="shared" si="20"/>
        <v>, 8</v>
      </c>
      <c r="V100" s="8" t="str">
        <f t="shared" si="21"/>
        <v/>
      </c>
      <c r="W100" s="8" t="str">
        <f t="shared" si="22"/>
        <v/>
      </c>
      <c r="X100" s="8" t="str">
        <f t="shared" si="23"/>
        <v/>
      </c>
      <c r="Y100" s="8" t="str">
        <f t="shared" si="24"/>
        <v/>
      </c>
      <c r="Z100" s="8" t="str">
        <f t="shared" si="25"/>
        <v/>
      </c>
      <c r="AA100" s="8" t="str">
        <f t="shared" si="26"/>
        <v/>
      </c>
      <c r="AB100" s="8" t="str">
        <f t="shared" si="27"/>
        <v/>
      </c>
      <c r="AC100" s="5" t="str">
        <f t="shared" si="28"/>
        <v>,		// 96 - '`'</v>
      </c>
      <c r="AD100" s="4"/>
      <c r="AE100" s="31" t="str">
        <f t="shared" si="29"/>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5"/>
        <v>5</v>
      </c>
      <c r="Q101" s="4">
        <f t="shared" si="16"/>
        <v>0</v>
      </c>
      <c r="R101" s="4">
        <f t="shared" si="17"/>
        <v>5</v>
      </c>
      <c r="S101" s="8" t="str">
        <f t="shared" si="18"/>
        <v>, 32</v>
      </c>
      <c r="T101" s="8" t="str">
        <f t="shared" si="19"/>
        <v>, 84</v>
      </c>
      <c r="U101" s="8" t="str">
        <f t="shared" si="20"/>
        <v>, 84</v>
      </c>
      <c r="V101" s="8" t="str">
        <f t="shared" si="21"/>
        <v>, 120</v>
      </c>
      <c r="W101" s="8" t="str">
        <f t="shared" si="22"/>
        <v>, 64</v>
      </c>
      <c r="X101" s="8" t="str">
        <f t="shared" si="23"/>
        <v/>
      </c>
      <c r="Y101" s="8" t="str">
        <f t="shared" si="24"/>
        <v/>
      </c>
      <c r="Z101" s="8" t="str">
        <f t="shared" si="25"/>
        <v/>
      </c>
      <c r="AA101" s="8" t="str">
        <f t="shared" si="26"/>
        <v/>
      </c>
      <c r="AB101" s="8" t="str">
        <f t="shared" si="27"/>
        <v/>
      </c>
      <c r="AC101" s="5" t="str">
        <f t="shared" si="28"/>
        <v>,		// 97 - 'a'</v>
      </c>
      <c r="AD101" s="4"/>
      <c r="AE101" s="31" t="str">
        <f t="shared" si="29"/>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5"/>
        <v>5</v>
      </c>
      <c r="Q102" s="4">
        <f t="shared" si="16"/>
        <v>0</v>
      </c>
      <c r="R102" s="4">
        <f t="shared" si="17"/>
        <v>5</v>
      </c>
      <c r="S102" s="8" t="str">
        <f t="shared" si="18"/>
        <v>, 127</v>
      </c>
      <c r="T102" s="8" t="str">
        <f t="shared" si="19"/>
        <v>, 40</v>
      </c>
      <c r="U102" s="8" t="str">
        <f t="shared" si="20"/>
        <v>, 68</v>
      </c>
      <c r="V102" s="8" t="str">
        <f t="shared" si="21"/>
        <v>, 68</v>
      </c>
      <c r="W102" s="8" t="str">
        <f t="shared" si="22"/>
        <v>, 56</v>
      </c>
      <c r="X102" s="8" t="str">
        <f t="shared" si="23"/>
        <v/>
      </c>
      <c r="Y102" s="8" t="str">
        <f t="shared" si="24"/>
        <v/>
      </c>
      <c r="Z102" s="8" t="str">
        <f t="shared" si="25"/>
        <v/>
      </c>
      <c r="AA102" s="8" t="str">
        <f t="shared" si="26"/>
        <v/>
      </c>
      <c r="AB102" s="8" t="str">
        <f t="shared" si="27"/>
        <v/>
      </c>
      <c r="AC102" s="5" t="str">
        <f t="shared" si="28"/>
        <v>,		// 98 - 'b'</v>
      </c>
      <c r="AD102" s="4"/>
      <c r="AE102" s="31" t="str">
        <f t="shared" si="29"/>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5"/>
        <v>5</v>
      </c>
      <c r="Q103" s="4">
        <f t="shared" si="16"/>
        <v>0</v>
      </c>
      <c r="R103" s="4">
        <f t="shared" si="17"/>
        <v>5</v>
      </c>
      <c r="S103" s="8" t="str">
        <f t="shared" si="18"/>
        <v>, 56</v>
      </c>
      <c r="T103" s="8" t="str">
        <f t="shared" si="19"/>
        <v>, 68</v>
      </c>
      <c r="U103" s="8" t="str">
        <f t="shared" si="20"/>
        <v>, 68</v>
      </c>
      <c r="V103" s="8" t="str">
        <f t="shared" si="21"/>
        <v>, 68</v>
      </c>
      <c r="W103" s="8" t="str">
        <f t="shared" si="22"/>
        <v>, 40</v>
      </c>
      <c r="X103" s="8" t="str">
        <f t="shared" si="23"/>
        <v/>
      </c>
      <c r="Y103" s="8" t="str">
        <f t="shared" si="24"/>
        <v/>
      </c>
      <c r="Z103" s="8" t="str">
        <f t="shared" si="25"/>
        <v/>
      </c>
      <c r="AA103" s="8" t="str">
        <f t="shared" si="26"/>
        <v/>
      </c>
      <c r="AB103" s="8" t="str">
        <f t="shared" si="27"/>
        <v/>
      </c>
      <c r="AC103" s="5" t="str">
        <f t="shared" si="28"/>
        <v>,		// 99 - 'c'</v>
      </c>
      <c r="AD103" s="4"/>
      <c r="AE103" s="31" t="str">
        <f t="shared" si="29"/>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5"/>
        <v>5</v>
      </c>
      <c r="Q104" s="4">
        <f t="shared" si="16"/>
        <v>0</v>
      </c>
      <c r="R104" s="4">
        <f t="shared" si="17"/>
        <v>5</v>
      </c>
      <c r="S104" s="8" t="str">
        <f t="shared" si="18"/>
        <v>, 56</v>
      </c>
      <c r="T104" s="8" t="str">
        <f t="shared" si="19"/>
        <v>, 68</v>
      </c>
      <c r="U104" s="8" t="str">
        <f t="shared" si="20"/>
        <v>, 68</v>
      </c>
      <c r="V104" s="8" t="str">
        <f t="shared" si="21"/>
        <v>, 40</v>
      </c>
      <c r="W104" s="8" t="str">
        <f t="shared" si="22"/>
        <v>, 127</v>
      </c>
      <c r="X104" s="8" t="str">
        <f t="shared" si="23"/>
        <v/>
      </c>
      <c r="Y104" s="8" t="str">
        <f t="shared" si="24"/>
        <v/>
      </c>
      <c r="Z104" s="8" t="str">
        <f t="shared" si="25"/>
        <v/>
      </c>
      <c r="AA104" s="8" t="str">
        <f t="shared" si="26"/>
        <v/>
      </c>
      <c r="AB104" s="8" t="str">
        <f t="shared" si="27"/>
        <v/>
      </c>
      <c r="AC104" s="5" t="str">
        <f t="shared" si="28"/>
        <v>,		// 100 - 'd'</v>
      </c>
      <c r="AD104" s="4"/>
      <c r="AE104" s="31" t="str">
        <f t="shared" si="29"/>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5"/>
        <v>5</v>
      </c>
      <c r="Q105" s="4">
        <f t="shared" si="16"/>
        <v>0</v>
      </c>
      <c r="R105" s="4">
        <f t="shared" si="17"/>
        <v>5</v>
      </c>
      <c r="S105" s="8" t="str">
        <f t="shared" si="18"/>
        <v>, 56</v>
      </c>
      <c r="T105" s="8" t="str">
        <f t="shared" si="19"/>
        <v>, 84</v>
      </c>
      <c r="U105" s="8" t="str">
        <f t="shared" si="20"/>
        <v>, 84</v>
      </c>
      <c r="V105" s="8" t="str">
        <f t="shared" si="21"/>
        <v>, 84</v>
      </c>
      <c r="W105" s="8" t="str">
        <f t="shared" si="22"/>
        <v>, 24</v>
      </c>
      <c r="X105" s="8" t="str">
        <f t="shared" si="23"/>
        <v/>
      </c>
      <c r="Y105" s="8" t="str">
        <f t="shared" si="24"/>
        <v/>
      </c>
      <c r="Z105" s="8" t="str">
        <f t="shared" si="25"/>
        <v/>
      </c>
      <c r="AA105" s="8" t="str">
        <f t="shared" si="26"/>
        <v/>
      </c>
      <c r="AB105" s="8" t="str">
        <f t="shared" si="27"/>
        <v/>
      </c>
      <c r="AC105" s="5" t="str">
        <f t="shared" si="28"/>
        <v>,		// 101 - 'e'</v>
      </c>
      <c r="AD105" s="4"/>
      <c r="AE105" s="31" t="str">
        <f t="shared" si="29"/>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5"/>
        <v>4</v>
      </c>
      <c r="Q106" s="4">
        <f t="shared" si="16"/>
        <v>0</v>
      </c>
      <c r="R106" s="4">
        <f t="shared" si="17"/>
        <v>4</v>
      </c>
      <c r="S106" s="8" t="str">
        <f t="shared" si="18"/>
        <v>, 8</v>
      </c>
      <c r="T106" s="8" t="str">
        <f t="shared" si="19"/>
        <v>, 126</v>
      </c>
      <c r="U106" s="8" t="str">
        <f t="shared" si="20"/>
        <v>, 9</v>
      </c>
      <c r="V106" s="8" t="str">
        <f t="shared" si="21"/>
        <v>, 2</v>
      </c>
      <c r="W106" s="8" t="str">
        <f t="shared" si="22"/>
        <v/>
      </c>
      <c r="X106" s="8" t="str">
        <f t="shared" si="23"/>
        <v/>
      </c>
      <c r="Y106" s="8" t="str">
        <f t="shared" si="24"/>
        <v/>
      </c>
      <c r="Z106" s="8" t="str">
        <f t="shared" si="25"/>
        <v/>
      </c>
      <c r="AA106" s="8" t="str">
        <f t="shared" si="26"/>
        <v/>
      </c>
      <c r="AB106" s="8" t="str">
        <f t="shared" si="27"/>
        <v/>
      </c>
      <c r="AC106" s="5" t="str">
        <f t="shared" si="28"/>
        <v>,		// 102 - 'f'</v>
      </c>
      <c r="AD106" s="4"/>
      <c r="AE106" s="31" t="str">
        <f t="shared" si="29"/>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5"/>
        <v>5</v>
      </c>
      <c r="Q107" s="4">
        <f t="shared" si="16"/>
        <v>0</v>
      </c>
      <c r="R107" s="4">
        <f t="shared" si="17"/>
        <v>5</v>
      </c>
      <c r="S107" s="8" t="str">
        <f t="shared" si="18"/>
        <v>, 24</v>
      </c>
      <c r="T107" s="8" t="str">
        <f t="shared" si="19"/>
        <v>, 164</v>
      </c>
      <c r="U107" s="8" t="str">
        <f t="shared" si="20"/>
        <v>, 164</v>
      </c>
      <c r="V107" s="8" t="str">
        <f t="shared" si="21"/>
        <v>, 156</v>
      </c>
      <c r="W107" s="8" t="str">
        <f t="shared" si="22"/>
        <v>, 120</v>
      </c>
      <c r="X107" s="8" t="str">
        <f t="shared" si="23"/>
        <v/>
      </c>
      <c r="Y107" s="8" t="str">
        <f t="shared" si="24"/>
        <v/>
      </c>
      <c r="Z107" s="8" t="str">
        <f t="shared" si="25"/>
        <v/>
      </c>
      <c r="AA107" s="8" t="str">
        <f t="shared" si="26"/>
        <v/>
      </c>
      <c r="AB107" s="8" t="str">
        <f t="shared" si="27"/>
        <v/>
      </c>
      <c r="AC107" s="5" t="str">
        <f t="shared" si="28"/>
        <v>,		// 103 - 'g'</v>
      </c>
      <c r="AD107" s="4"/>
      <c r="AE107" s="31" t="str">
        <f t="shared" si="29"/>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5"/>
        <v>5</v>
      </c>
      <c r="Q108" s="4">
        <f t="shared" si="16"/>
        <v>0</v>
      </c>
      <c r="R108" s="4">
        <f t="shared" si="17"/>
        <v>5</v>
      </c>
      <c r="S108" s="8" t="str">
        <f t="shared" si="18"/>
        <v>, 127</v>
      </c>
      <c r="T108" s="8" t="str">
        <f t="shared" si="19"/>
        <v>, 8</v>
      </c>
      <c r="U108" s="8" t="str">
        <f t="shared" si="20"/>
        <v>, 4</v>
      </c>
      <c r="V108" s="8" t="str">
        <f t="shared" si="21"/>
        <v>, 4</v>
      </c>
      <c r="W108" s="8" t="str">
        <f t="shared" si="22"/>
        <v>, 120</v>
      </c>
      <c r="X108" s="8" t="str">
        <f t="shared" si="23"/>
        <v/>
      </c>
      <c r="Y108" s="8" t="str">
        <f t="shared" si="24"/>
        <v/>
      </c>
      <c r="Z108" s="8" t="str">
        <f t="shared" si="25"/>
        <v/>
      </c>
      <c r="AA108" s="8" t="str">
        <f t="shared" si="26"/>
        <v/>
      </c>
      <c r="AB108" s="8" t="str">
        <f t="shared" si="27"/>
        <v/>
      </c>
      <c r="AC108" s="5" t="str">
        <f t="shared" si="28"/>
        <v>,		// 104 - 'h'</v>
      </c>
      <c r="AD108" s="4"/>
      <c r="AE108" s="31" t="str">
        <f t="shared" si="29"/>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5"/>
        <v>3</v>
      </c>
      <c r="Q109" s="4">
        <f t="shared" si="16"/>
        <v>0</v>
      </c>
      <c r="R109" s="4">
        <f t="shared" si="17"/>
        <v>3</v>
      </c>
      <c r="S109" s="8" t="str">
        <f t="shared" si="18"/>
        <v>, 68</v>
      </c>
      <c r="T109" s="8" t="str">
        <f t="shared" si="19"/>
        <v>, 125</v>
      </c>
      <c r="U109" s="8" t="str">
        <f t="shared" si="20"/>
        <v>, 64</v>
      </c>
      <c r="V109" s="8" t="str">
        <f t="shared" si="21"/>
        <v/>
      </c>
      <c r="W109" s="8" t="str">
        <f t="shared" si="22"/>
        <v/>
      </c>
      <c r="X109" s="8" t="str">
        <f t="shared" si="23"/>
        <v/>
      </c>
      <c r="Y109" s="8" t="str">
        <f t="shared" si="24"/>
        <v/>
      </c>
      <c r="Z109" s="8" t="str">
        <f t="shared" si="25"/>
        <v/>
      </c>
      <c r="AA109" s="8" t="str">
        <f t="shared" si="26"/>
        <v/>
      </c>
      <c r="AB109" s="8" t="str">
        <f t="shared" si="27"/>
        <v/>
      </c>
      <c r="AC109" s="5" t="str">
        <f t="shared" si="28"/>
        <v>,		// 105 - 'i'</v>
      </c>
      <c r="AD109" s="4"/>
      <c r="AE109" s="31" t="str">
        <f t="shared" si="29"/>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5"/>
        <v>4</v>
      </c>
      <c r="Q110" s="4">
        <f t="shared" si="16"/>
        <v>0</v>
      </c>
      <c r="R110" s="4">
        <f t="shared" si="17"/>
        <v>4</v>
      </c>
      <c r="S110" s="8" t="str">
        <f t="shared" si="18"/>
        <v>, 64</v>
      </c>
      <c r="T110" s="8" t="str">
        <f t="shared" si="19"/>
        <v>, 128</v>
      </c>
      <c r="U110" s="8" t="str">
        <f t="shared" si="20"/>
        <v>, 128</v>
      </c>
      <c r="V110" s="8" t="str">
        <f t="shared" si="21"/>
        <v>, 122</v>
      </c>
      <c r="W110" s="8" t="str">
        <f t="shared" si="22"/>
        <v/>
      </c>
      <c r="X110" s="8" t="str">
        <f t="shared" si="23"/>
        <v/>
      </c>
      <c r="Y110" s="8" t="str">
        <f t="shared" si="24"/>
        <v/>
      </c>
      <c r="Z110" s="8" t="str">
        <f t="shared" si="25"/>
        <v/>
      </c>
      <c r="AA110" s="8" t="str">
        <f t="shared" si="26"/>
        <v/>
      </c>
      <c r="AB110" s="8" t="str">
        <f t="shared" si="27"/>
        <v/>
      </c>
      <c r="AC110" s="5" t="str">
        <f t="shared" si="28"/>
        <v>,		// 106 - 'j'</v>
      </c>
      <c r="AD110" s="4"/>
      <c r="AE110" s="31" t="str">
        <f t="shared" si="29"/>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5"/>
        <v>4</v>
      </c>
      <c r="Q111" s="4">
        <f t="shared" si="16"/>
        <v>0</v>
      </c>
      <c r="R111" s="4">
        <f t="shared" si="17"/>
        <v>4</v>
      </c>
      <c r="S111" s="8" t="str">
        <f t="shared" si="18"/>
        <v>, 127</v>
      </c>
      <c r="T111" s="8" t="str">
        <f t="shared" si="19"/>
        <v>, 16</v>
      </c>
      <c r="U111" s="8" t="str">
        <f t="shared" si="20"/>
        <v>, 40</v>
      </c>
      <c r="V111" s="8" t="str">
        <f t="shared" si="21"/>
        <v>, 68</v>
      </c>
      <c r="W111" s="8" t="str">
        <f t="shared" si="22"/>
        <v/>
      </c>
      <c r="X111" s="8" t="str">
        <f t="shared" si="23"/>
        <v/>
      </c>
      <c r="Y111" s="8" t="str">
        <f t="shared" si="24"/>
        <v/>
      </c>
      <c r="Z111" s="8" t="str">
        <f t="shared" si="25"/>
        <v/>
      </c>
      <c r="AA111" s="8" t="str">
        <f t="shared" si="26"/>
        <v/>
      </c>
      <c r="AB111" s="8" t="str">
        <f t="shared" si="27"/>
        <v/>
      </c>
      <c r="AC111" s="5" t="str">
        <f t="shared" si="28"/>
        <v>,		// 107 - 'k'</v>
      </c>
      <c r="AD111" s="4"/>
      <c r="AE111" s="31" t="str">
        <f t="shared" si="29"/>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5"/>
        <v>3</v>
      </c>
      <c r="Q112" s="4">
        <f t="shared" si="16"/>
        <v>0</v>
      </c>
      <c r="R112" s="4">
        <f t="shared" si="17"/>
        <v>3</v>
      </c>
      <c r="S112" s="8" t="str">
        <f t="shared" si="18"/>
        <v>, 65</v>
      </c>
      <c r="T112" s="8" t="str">
        <f t="shared" si="19"/>
        <v>, 127</v>
      </c>
      <c r="U112" s="8" t="str">
        <f t="shared" si="20"/>
        <v>, 64</v>
      </c>
      <c r="V112" s="8" t="str">
        <f t="shared" si="21"/>
        <v/>
      </c>
      <c r="W112" s="8" t="str">
        <f t="shared" si="22"/>
        <v/>
      </c>
      <c r="X112" s="8" t="str">
        <f t="shared" si="23"/>
        <v/>
      </c>
      <c r="Y112" s="8" t="str">
        <f t="shared" si="24"/>
        <v/>
      </c>
      <c r="Z112" s="8" t="str">
        <f t="shared" si="25"/>
        <v/>
      </c>
      <c r="AA112" s="8" t="str">
        <f t="shared" si="26"/>
        <v/>
      </c>
      <c r="AB112" s="8" t="str">
        <f t="shared" si="27"/>
        <v/>
      </c>
      <c r="AC112" s="5" t="str">
        <f t="shared" si="28"/>
        <v>,		// 108 - 'l'</v>
      </c>
      <c r="AD112" s="4"/>
      <c r="AE112" s="31" t="str">
        <f t="shared" si="29"/>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5"/>
        <v>5</v>
      </c>
      <c r="Q113" s="4">
        <f t="shared" si="16"/>
        <v>0</v>
      </c>
      <c r="R113" s="4">
        <f t="shared" si="17"/>
        <v>5</v>
      </c>
      <c r="S113" s="8" t="str">
        <f t="shared" si="18"/>
        <v>, 124</v>
      </c>
      <c r="T113" s="8" t="str">
        <f t="shared" si="19"/>
        <v>, 4</v>
      </c>
      <c r="U113" s="8" t="str">
        <f t="shared" si="20"/>
        <v>, 120</v>
      </c>
      <c r="V113" s="8" t="str">
        <f t="shared" si="21"/>
        <v>, 4</v>
      </c>
      <c r="W113" s="8" t="str">
        <f t="shared" si="22"/>
        <v>, 120</v>
      </c>
      <c r="X113" s="8" t="str">
        <f t="shared" si="23"/>
        <v/>
      </c>
      <c r="Y113" s="8" t="str">
        <f t="shared" si="24"/>
        <v/>
      </c>
      <c r="Z113" s="8" t="str">
        <f t="shared" si="25"/>
        <v/>
      </c>
      <c r="AA113" s="8" t="str">
        <f t="shared" si="26"/>
        <v/>
      </c>
      <c r="AB113" s="8" t="str">
        <f t="shared" si="27"/>
        <v/>
      </c>
      <c r="AC113" s="5" t="str">
        <f t="shared" si="28"/>
        <v>,		// 109 - 'm'</v>
      </c>
      <c r="AD113" s="4"/>
      <c r="AE113" s="31" t="str">
        <f t="shared" si="29"/>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5"/>
        <v>5</v>
      </c>
      <c r="Q114" s="4">
        <f t="shared" si="16"/>
        <v>0</v>
      </c>
      <c r="R114" s="4">
        <f t="shared" si="17"/>
        <v>5</v>
      </c>
      <c r="S114" s="8" t="str">
        <f t="shared" si="18"/>
        <v>, 124</v>
      </c>
      <c r="T114" s="8" t="str">
        <f t="shared" si="19"/>
        <v>, 8</v>
      </c>
      <c r="U114" s="8" t="str">
        <f t="shared" si="20"/>
        <v>, 4</v>
      </c>
      <c r="V114" s="8" t="str">
        <f t="shared" si="21"/>
        <v>, 4</v>
      </c>
      <c r="W114" s="8" t="str">
        <f t="shared" si="22"/>
        <v>, 120</v>
      </c>
      <c r="X114" s="8" t="str">
        <f t="shared" si="23"/>
        <v/>
      </c>
      <c r="Y114" s="8" t="str">
        <f t="shared" si="24"/>
        <v/>
      </c>
      <c r="Z114" s="8" t="str">
        <f t="shared" si="25"/>
        <v/>
      </c>
      <c r="AA114" s="8" t="str">
        <f t="shared" si="26"/>
        <v/>
      </c>
      <c r="AB114" s="8" t="str">
        <f t="shared" si="27"/>
        <v/>
      </c>
      <c r="AC114" s="5" t="str">
        <f t="shared" si="28"/>
        <v>,		// 110 - 'n'</v>
      </c>
      <c r="AD114" s="4"/>
      <c r="AE114" s="31" t="str">
        <f t="shared" si="29"/>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5"/>
        <v>5</v>
      </c>
      <c r="Q115" s="4">
        <f t="shared" si="16"/>
        <v>0</v>
      </c>
      <c r="R115" s="4">
        <f t="shared" si="17"/>
        <v>5</v>
      </c>
      <c r="S115" s="8" t="str">
        <f t="shared" si="18"/>
        <v>, 56</v>
      </c>
      <c r="T115" s="8" t="str">
        <f t="shared" si="19"/>
        <v>, 68</v>
      </c>
      <c r="U115" s="8" t="str">
        <f t="shared" si="20"/>
        <v>, 68</v>
      </c>
      <c r="V115" s="8" t="str">
        <f t="shared" si="21"/>
        <v>, 68</v>
      </c>
      <c r="W115" s="8" t="str">
        <f t="shared" si="22"/>
        <v>, 56</v>
      </c>
      <c r="X115" s="8" t="str">
        <f t="shared" si="23"/>
        <v/>
      </c>
      <c r="Y115" s="8" t="str">
        <f t="shared" si="24"/>
        <v/>
      </c>
      <c r="Z115" s="8" t="str">
        <f t="shared" si="25"/>
        <v/>
      </c>
      <c r="AA115" s="8" t="str">
        <f t="shared" si="26"/>
        <v/>
      </c>
      <c r="AB115" s="8" t="str">
        <f t="shared" si="27"/>
        <v/>
      </c>
      <c r="AC115" s="5" t="str">
        <f t="shared" si="28"/>
        <v>,		// 111 - 'o'</v>
      </c>
      <c r="AD115" s="4"/>
      <c r="AE115" s="31" t="str">
        <f t="shared" si="29"/>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5"/>
        <v>5</v>
      </c>
      <c r="Q116" s="4">
        <f t="shared" si="16"/>
        <v>0</v>
      </c>
      <c r="R116" s="4">
        <f t="shared" si="17"/>
        <v>5</v>
      </c>
      <c r="S116" s="8" t="str">
        <f t="shared" si="18"/>
        <v>, 252</v>
      </c>
      <c r="T116" s="8" t="str">
        <f t="shared" si="19"/>
        <v>, 24</v>
      </c>
      <c r="U116" s="8" t="str">
        <f t="shared" si="20"/>
        <v>, 36</v>
      </c>
      <c r="V116" s="8" t="str">
        <f t="shared" si="21"/>
        <v>, 36</v>
      </c>
      <c r="W116" s="8" t="str">
        <f t="shared" si="22"/>
        <v>, 24</v>
      </c>
      <c r="X116" s="8" t="str">
        <f t="shared" si="23"/>
        <v/>
      </c>
      <c r="Y116" s="8" t="str">
        <f t="shared" si="24"/>
        <v/>
      </c>
      <c r="Z116" s="8" t="str">
        <f t="shared" si="25"/>
        <v/>
      </c>
      <c r="AA116" s="8" t="str">
        <f t="shared" si="26"/>
        <v/>
      </c>
      <c r="AB116" s="8" t="str">
        <f t="shared" si="27"/>
        <v/>
      </c>
      <c r="AC116" s="5" t="str">
        <f t="shared" si="28"/>
        <v>,		// 112 - 'p'</v>
      </c>
      <c r="AD116" s="4"/>
      <c r="AE116" s="31" t="str">
        <f t="shared" si="29"/>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5"/>
        <v>5</v>
      </c>
      <c r="Q117" s="4">
        <f t="shared" si="16"/>
        <v>0</v>
      </c>
      <c r="R117" s="4">
        <f t="shared" si="17"/>
        <v>5</v>
      </c>
      <c r="S117" s="8" t="str">
        <f t="shared" si="18"/>
        <v>, 24</v>
      </c>
      <c r="T117" s="8" t="str">
        <f t="shared" si="19"/>
        <v>, 36</v>
      </c>
      <c r="U117" s="8" t="str">
        <f t="shared" si="20"/>
        <v>, 36</v>
      </c>
      <c r="V117" s="8" t="str">
        <f t="shared" si="21"/>
        <v>, 24</v>
      </c>
      <c r="W117" s="8" t="str">
        <f t="shared" si="22"/>
        <v>, 252</v>
      </c>
      <c r="X117" s="8" t="str">
        <f t="shared" si="23"/>
        <v/>
      </c>
      <c r="Y117" s="8" t="str">
        <f t="shared" si="24"/>
        <v/>
      </c>
      <c r="Z117" s="8" t="str">
        <f t="shared" si="25"/>
        <v/>
      </c>
      <c r="AA117" s="8" t="str">
        <f t="shared" si="26"/>
        <v/>
      </c>
      <c r="AB117" s="8" t="str">
        <f t="shared" si="27"/>
        <v/>
      </c>
      <c r="AC117" s="5" t="str">
        <f t="shared" si="28"/>
        <v>,		// 113 - 'q'</v>
      </c>
      <c r="AD117" s="4"/>
      <c r="AE117" s="31" t="str">
        <f t="shared" si="29"/>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5"/>
        <v>5</v>
      </c>
      <c r="Q118" s="4">
        <f t="shared" si="16"/>
        <v>0</v>
      </c>
      <c r="R118" s="4">
        <f t="shared" si="17"/>
        <v>5</v>
      </c>
      <c r="S118" s="8" t="str">
        <f t="shared" si="18"/>
        <v>, 124</v>
      </c>
      <c r="T118" s="8" t="str">
        <f t="shared" si="19"/>
        <v>, 8</v>
      </c>
      <c r="U118" s="8" t="str">
        <f t="shared" si="20"/>
        <v>, 4</v>
      </c>
      <c r="V118" s="8" t="str">
        <f t="shared" si="21"/>
        <v>, 4</v>
      </c>
      <c r="W118" s="8" t="str">
        <f t="shared" si="22"/>
        <v>, 8</v>
      </c>
      <c r="X118" s="8" t="str">
        <f t="shared" si="23"/>
        <v/>
      </c>
      <c r="Y118" s="8" t="str">
        <f t="shared" si="24"/>
        <v/>
      </c>
      <c r="Z118" s="8" t="str">
        <f t="shared" si="25"/>
        <v/>
      </c>
      <c r="AA118" s="8" t="str">
        <f t="shared" si="26"/>
        <v/>
      </c>
      <c r="AB118" s="8" t="str">
        <f t="shared" si="27"/>
        <v/>
      </c>
      <c r="AC118" s="5" t="str">
        <f t="shared" si="28"/>
        <v>,		// 114 - 'r'</v>
      </c>
      <c r="AD118" s="4"/>
      <c r="AE118" s="31" t="str">
        <f t="shared" si="29"/>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5"/>
        <v>5</v>
      </c>
      <c r="Q119" s="4">
        <f t="shared" si="16"/>
        <v>0</v>
      </c>
      <c r="R119" s="4">
        <f t="shared" si="17"/>
        <v>5</v>
      </c>
      <c r="S119" s="8" t="str">
        <f t="shared" si="18"/>
        <v>, 72</v>
      </c>
      <c r="T119" s="8" t="str">
        <f t="shared" si="19"/>
        <v>, 84</v>
      </c>
      <c r="U119" s="8" t="str">
        <f t="shared" si="20"/>
        <v>, 84</v>
      </c>
      <c r="V119" s="8" t="str">
        <f t="shared" si="21"/>
        <v>, 84</v>
      </c>
      <c r="W119" s="8" t="str">
        <f t="shared" si="22"/>
        <v>, 36</v>
      </c>
      <c r="X119" s="8" t="str">
        <f t="shared" si="23"/>
        <v/>
      </c>
      <c r="Y119" s="8" t="str">
        <f t="shared" si="24"/>
        <v/>
      </c>
      <c r="Z119" s="8" t="str">
        <f t="shared" si="25"/>
        <v/>
      </c>
      <c r="AA119" s="8" t="str">
        <f t="shared" si="26"/>
        <v/>
      </c>
      <c r="AB119" s="8" t="str">
        <f t="shared" si="27"/>
        <v/>
      </c>
      <c r="AC119" s="5" t="str">
        <f t="shared" si="28"/>
        <v>,		// 115 - 's'</v>
      </c>
      <c r="AD119" s="4"/>
      <c r="AE119" s="31" t="str">
        <f t="shared" si="29"/>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5"/>
        <v>4</v>
      </c>
      <c r="Q120" s="4">
        <f t="shared" si="16"/>
        <v>0</v>
      </c>
      <c r="R120" s="4">
        <f t="shared" si="17"/>
        <v>4</v>
      </c>
      <c r="S120" s="8" t="str">
        <f t="shared" si="18"/>
        <v>, 4</v>
      </c>
      <c r="T120" s="8" t="str">
        <f t="shared" si="19"/>
        <v>, 63</v>
      </c>
      <c r="U120" s="8" t="str">
        <f t="shared" si="20"/>
        <v>, 68</v>
      </c>
      <c r="V120" s="8" t="str">
        <f t="shared" si="21"/>
        <v>, 36</v>
      </c>
      <c r="W120" s="8" t="str">
        <f t="shared" si="22"/>
        <v/>
      </c>
      <c r="X120" s="8" t="str">
        <f t="shared" si="23"/>
        <v/>
      </c>
      <c r="Y120" s="8" t="str">
        <f t="shared" si="24"/>
        <v/>
      </c>
      <c r="Z120" s="8" t="str">
        <f t="shared" si="25"/>
        <v/>
      </c>
      <c r="AA120" s="8" t="str">
        <f t="shared" si="26"/>
        <v/>
      </c>
      <c r="AB120" s="8" t="str">
        <f t="shared" si="27"/>
        <v/>
      </c>
      <c r="AC120" s="5" t="str">
        <f t="shared" si="28"/>
        <v>,		// 116 - 't'</v>
      </c>
      <c r="AD120" s="4"/>
      <c r="AE120" s="31" t="str">
        <f t="shared" si="29"/>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5"/>
        <v>5</v>
      </c>
      <c r="Q121" s="4">
        <f t="shared" si="16"/>
        <v>0</v>
      </c>
      <c r="R121" s="4">
        <f t="shared" si="17"/>
        <v>5</v>
      </c>
      <c r="S121" s="8" t="str">
        <f t="shared" si="18"/>
        <v>, 60</v>
      </c>
      <c r="T121" s="8" t="str">
        <f t="shared" si="19"/>
        <v>, 64</v>
      </c>
      <c r="U121" s="8" t="str">
        <f t="shared" si="20"/>
        <v>, 64</v>
      </c>
      <c r="V121" s="8" t="str">
        <f t="shared" si="21"/>
        <v>, 32</v>
      </c>
      <c r="W121" s="8" t="str">
        <f t="shared" si="22"/>
        <v>, 124</v>
      </c>
      <c r="X121" s="8" t="str">
        <f t="shared" si="23"/>
        <v/>
      </c>
      <c r="Y121" s="8" t="str">
        <f t="shared" si="24"/>
        <v/>
      </c>
      <c r="Z121" s="8" t="str">
        <f t="shared" si="25"/>
        <v/>
      </c>
      <c r="AA121" s="8" t="str">
        <f t="shared" si="26"/>
        <v/>
      </c>
      <c r="AB121" s="8" t="str">
        <f t="shared" si="27"/>
        <v/>
      </c>
      <c r="AC121" s="5" t="str">
        <f t="shared" si="28"/>
        <v>,		// 117 - 'u'</v>
      </c>
      <c r="AD121" s="4"/>
      <c r="AE121" s="31" t="str">
        <f t="shared" si="29"/>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5"/>
        <v>5</v>
      </c>
      <c r="Q122" s="4">
        <f t="shared" si="16"/>
        <v>0</v>
      </c>
      <c r="R122" s="4">
        <f t="shared" si="17"/>
        <v>5</v>
      </c>
      <c r="S122" s="8" t="str">
        <f t="shared" si="18"/>
        <v>, 28</v>
      </c>
      <c r="T122" s="8" t="str">
        <f t="shared" si="19"/>
        <v>, 32</v>
      </c>
      <c r="U122" s="8" t="str">
        <f t="shared" si="20"/>
        <v>, 64</v>
      </c>
      <c r="V122" s="8" t="str">
        <f t="shared" si="21"/>
        <v>, 32</v>
      </c>
      <c r="W122" s="8" t="str">
        <f t="shared" si="22"/>
        <v>, 28</v>
      </c>
      <c r="X122" s="8" t="str">
        <f t="shared" si="23"/>
        <v/>
      </c>
      <c r="Y122" s="8" t="str">
        <f t="shared" si="24"/>
        <v/>
      </c>
      <c r="Z122" s="8" t="str">
        <f t="shared" si="25"/>
        <v/>
      </c>
      <c r="AA122" s="8" t="str">
        <f t="shared" si="26"/>
        <v/>
      </c>
      <c r="AB122" s="8" t="str">
        <f t="shared" si="27"/>
        <v/>
      </c>
      <c r="AC122" s="5" t="str">
        <f t="shared" si="28"/>
        <v>,		// 118 - 'v'</v>
      </c>
      <c r="AD122" s="4"/>
      <c r="AE122" s="31" t="str">
        <f t="shared" si="29"/>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5"/>
        <v>5</v>
      </c>
      <c r="Q123" s="4">
        <f t="shared" si="16"/>
        <v>0</v>
      </c>
      <c r="R123" s="4">
        <f t="shared" si="17"/>
        <v>5</v>
      </c>
      <c r="S123" s="8" t="str">
        <f t="shared" si="18"/>
        <v>, 60</v>
      </c>
      <c r="T123" s="8" t="str">
        <f t="shared" si="19"/>
        <v>, 64</v>
      </c>
      <c r="U123" s="8" t="str">
        <f t="shared" si="20"/>
        <v>, 48</v>
      </c>
      <c r="V123" s="8" t="str">
        <f t="shared" si="21"/>
        <v>, 64</v>
      </c>
      <c r="W123" s="8" t="str">
        <f t="shared" si="22"/>
        <v>, 60</v>
      </c>
      <c r="X123" s="8" t="str">
        <f t="shared" si="23"/>
        <v/>
      </c>
      <c r="Y123" s="8" t="str">
        <f t="shared" si="24"/>
        <v/>
      </c>
      <c r="Z123" s="8" t="str">
        <f t="shared" si="25"/>
        <v/>
      </c>
      <c r="AA123" s="8" t="str">
        <f t="shared" si="26"/>
        <v/>
      </c>
      <c r="AB123" s="8" t="str">
        <f t="shared" si="27"/>
        <v/>
      </c>
      <c r="AC123" s="5" t="str">
        <f t="shared" si="28"/>
        <v>,		// 119 - 'w'</v>
      </c>
      <c r="AD123" s="4"/>
      <c r="AE123" s="31" t="str">
        <f t="shared" si="29"/>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5"/>
        <v>5</v>
      </c>
      <c r="Q124" s="4">
        <f t="shared" si="16"/>
        <v>0</v>
      </c>
      <c r="R124" s="4">
        <f t="shared" si="17"/>
        <v>5</v>
      </c>
      <c r="S124" s="8" t="str">
        <f t="shared" si="18"/>
        <v>, 68</v>
      </c>
      <c r="T124" s="8" t="str">
        <f t="shared" si="19"/>
        <v>, 40</v>
      </c>
      <c r="U124" s="8" t="str">
        <f t="shared" si="20"/>
        <v>, 16</v>
      </c>
      <c r="V124" s="8" t="str">
        <f t="shared" si="21"/>
        <v>, 40</v>
      </c>
      <c r="W124" s="8" t="str">
        <f t="shared" si="22"/>
        <v>, 68</v>
      </c>
      <c r="X124" s="8" t="str">
        <f t="shared" si="23"/>
        <v/>
      </c>
      <c r="Y124" s="8" t="str">
        <f t="shared" si="24"/>
        <v/>
      </c>
      <c r="Z124" s="8" t="str">
        <f t="shared" si="25"/>
        <v/>
      </c>
      <c r="AA124" s="8" t="str">
        <f t="shared" si="26"/>
        <v/>
      </c>
      <c r="AB124" s="8" t="str">
        <f t="shared" si="27"/>
        <v/>
      </c>
      <c r="AC124" s="5" t="str">
        <f t="shared" si="28"/>
        <v>,		// 120 - 'x'</v>
      </c>
      <c r="AD124" s="4"/>
      <c r="AE124" s="31" t="str">
        <f t="shared" si="29"/>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5"/>
        <v>5</v>
      </c>
      <c r="Q125" s="4">
        <f t="shared" si="16"/>
        <v>0</v>
      </c>
      <c r="R125" s="4">
        <f t="shared" si="17"/>
        <v>5</v>
      </c>
      <c r="S125" s="8" t="str">
        <f t="shared" si="18"/>
        <v>, 76</v>
      </c>
      <c r="T125" s="8" t="str">
        <f t="shared" si="19"/>
        <v>, 144</v>
      </c>
      <c r="U125" s="8" t="str">
        <f t="shared" si="20"/>
        <v>, 144</v>
      </c>
      <c r="V125" s="8" t="str">
        <f t="shared" si="21"/>
        <v>, 144</v>
      </c>
      <c r="W125" s="8" t="str">
        <f t="shared" si="22"/>
        <v>, 124</v>
      </c>
      <c r="X125" s="8" t="str">
        <f t="shared" si="23"/>
        <v/>
      </c>
      <c r="Y125" s="8" t="str">
        <f t="shared" si="24"/>
        <v/>
      </c>
      <c r="Z125" s="8" t="str">
        <f t="shared" si="25"/>
        <v/>
      </c>
      <c r="AA125" s="8" t="str">
        <f t="shared" si="26"/>
        <v/>
      </c>
      <c r="AB125" s="8" t="str">
        <f t="shared" si="27"/>
        <v/>
      </c>
      <c r="AC125" s="5" t="str">
        <f t="shared" si="28"/>
        <v>,		// 121 - 'y'</v>
      </c>
      <c r="AD125" s="4"/>
      <c r="AE125" s="31" t="str">
        <f t="shared" si="29"/>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5"/>
        <v>5</v>
      </c>
      <c r="Q126" s="4">
        <f t="shared" si="16"/>
        <v>0</v>
      </c>
      <c r="R126" s="4">
        <f t="shared" si="17"/>
        <v>5</v>
      </c>
      <c r="S126" s="8" t="str">
        <f t="shared" si="18"/>
        <v>, 68</v>
      </c>
      <c r="T126" s="8" t="str">
        <f t="shared" si="19"/>
        <v>, 100</v>
      </c>
      <c r="U126" s="8" t="str">
        <f t="shared" si="20"/>
        <v>, 84</v>
      </c>
      <c r="V126" s="8" t="str">
        <f t="shared" si="21"/>
        <v>, 76</v>
      </c>
      <c r="W126" s="8" t="str">
        <f t="shared" si="22"/>
        <v>, 68</v>
      </c>
      <c r="X126" s="8" t="str">
        <f t="shared" si="23"/>
        <v/>
      </c>
      <c r="Y126" s="8" t="str">
        <f t="shared" si="24"/>
        <v/>
      </c>
      <c r="Z126" s="8" t="str">
        <f t="shared" si="25"/>
        <v/>
      </c>
      <c r="AA126" s="8" t="str">
        <f t="shared" si="26"/>
        <v/>
      </c>
      <c r="AB126" s="8" t="str">
        <f t="shared" si="27"/>
        <v/>
      </c>
      <c r="AC126" s="5" t="str">
        <f t="shared" si="28"/>
        <v>,		// 122 - 'z'</v>
      </c>
      <c r="AD126" s="4"/>
      <c r="AE126" s="31" t="str">
        <f t="shared" si="29"/>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5"/>
        <v>3</v>
      </c>
      <c r="Q127" s="4">
        <f t="shared" si="16"/>
        <v>0</v>
      </c>
      <c r="R127" s="4">
        <f t="shared" si="17"/>
        <v>3</v>
      </c>
      <c r="S127" s="8" t="str">
        <f t="shared" si="18"/>
        <v>, 8</v>
      </c>
      <c r="T127" s="8" t="str">
        <f t="shared" si="19"/>
        <v>, 54</v>
      </c>
      <c r="U127" s="8" t="str">
        <f t="shared" si="20"/>
        <v>, 65</v>
      </c>
      <c r="V127" s="8" t="str">
        <f t="shared" si="21"/>
        <v/>
      </c>
      <c r="W127" s="8" t="str">
        <f t="shared" si="22"/>
        <v/>
      </c>
      <c r="X127" s="8" t="str">
        <f t="shared" si="23"/>
        <v/>
      </c>
      <c r="Y127" s="8" t="str">
        <f t="shared" si="24"/>
        <v/>
      </c>
      <c r="Z127" s="8" t="str">
        <f t="shared" si="25"/>
        <v/>
      </c>
      <c r="AA127" s="8" t="str">
        <f t="shared" si="26"/>
        <v/>
      </c>
      <c r="AB127" s="8" t="str">
        <f t="shared" si="27"/>
        <v/>
      </c>
      <c r="AC127" s="5" t="str">
        <f t="shared" si="28"/>
        <v>,		// 123 - '{'</v>
      </c>
      <c r="AD127" s="4"/>
      <c r="AE127" s="31" t="str">
        <f t="shared" si="29"/>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5"/>
        <v>1</v>
      </c>
      <c r="Q128" s="4">
        <f t="shared" si="16"/>
        <v>0</v>
      </c>
      <c r="R128" s="4">
        <f t="shared" si="17"/>
        <v>1</v>
      </c>
      <c r="S128" s="8" t="str">
        <f t="shared" si="18"/>
        <v>, 119</v>
      </c>
      <c r="T128" s="8" t="str">
        <f t="shared" si="19"/>
        <v/>
      </c>
      <c r="U128" s="8" t="str">
        <f t="shared" si="20"/>
        <v/>
      </c>
      <c r="V128" s="8" t="str">
        <f t="shared" si="21"/>
        <v/>
      </c>
      <c r="W128" s="8" t="str">
        <f t="shared" si="22"/>
        <v/>
      </c>
      <c r="X128" s="8" t="str">
        <f t="shared" si="23"/>
        <v/>
      </c>
      <c r="Y128" s="8" t="str">
        <f t="shared" si="24"/>
        <v/>
      </c>
      <c r="Z128" s="8" t="str">
        <f t="shared" si="25"/>
        <v/>
      </c>
      <c r="AA128" s="8" t="str">
        <f t="shared" si="26"/>
        <v/>
      </c>
      <c r="AB128" s="8" t="str">
        <f t="shared" si="27"/>
        <v/>
      </c>
      <c r="AC128" s="5" t="str">
        <f t="shared" si="28"/>
        <v>,		// 124 - '|'</v>
      </c>
      <c r="AD128" s="4"/>
      <c r="AE128" s="31" t="str">
        <f t="shared" si="29"/>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5"/>
        <v>3</v>
      </c>
      <c r="Q129" s="4">
        <f t="shared" si="16"/>
        <v>0</v>
      </c>
      <c r="R129" s="4">
        <f t="shared" si="17"/>
        <v>3</v>
      </c>
      <c r="S129" s="8" t="str">
        <f t="shared" si="18"/>
        <v>, 65</v>
      </c>
      <c r="T129" s="8" t="str">
        <f t="shared" si="19"/>
        <v>, 54</v>
      </c>
      <c r="U129" s="8" t="str">
        <f t="shared" si="20"/>
        <v>, 8</v>
      </c>
      <c r="V129" s="8" t="str">
        <f t="shared" si="21"/>
        <v/>
      </c>
      <c r="W129" s="8" t="str">
        <f t="shared" si="22"/>
        <v/>
      </c>
      <c r="X129" s="8" t="str">
        <f t="shared" si="23"/>
        <v/>
      </c>
      <c r="Y129" s="8" t="str">
        <f t="shared" si="24"/>
        <v/>
      </c>
      <c r="Z129" s="8" t="str">
        <f t="shared" si="25"/>
        <v/>
      </c>
      <c r="AA129" s="8" t="str">
        <f t="shared" si="26"/>
        <v/>
      </c>
      <c r="AB129" s="8" t="str">
        <f t="shared" si="27"/>
        <v/>
      </c>
      <c r="AC129" s="5" t="str">
        <f t="shared" si="28"/>
        <v>,		// 125 - '}'</v>
      </c>
      <c r="AD129" s="4"/>
      <c r="AE129" s="31" t="str">
        <f t="shared" si="29"/>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5"/>
        <v>5</v>
      </c>
      <c r="Q130" s="4">
        <f t="shared" si="16"/>
        <v>0</v>
      </c>
      <c r="R130" s="4">
        <f t="shared" si="17"/>
        <v>5</v>
      </c>
      <c r="S130" s="8" t="str">
        <f t="shared" si="18"/>
        <v>, 2</v>
      </c>
      <c r="T130" s="8" t="str">
        <f t="shared" si="19"/>
        <v>, 1</v>
      </c>
      <c r="U130" s="8" t="str">
        <f t="shared" si="20"/>
        <v>, 2</v>
      </c>
      <c r="V130" s="8" t="str">
        <f t="shared" si="21"/>
        <v>, 4</v>
      </c>
      <c r="W130" s="8" t="str">
        <f t="shared" si="22"/>
        <v>, 2</v>
      </c>
      <c r="X130" s="8" t="str">
        <f t="shared" si="23"/>
        <v/>
      </c>
      <c r="Y130" s="8" t="str">
        <f t="shared" si="24"/>
        <v/>
      </c>
      <c r="Z130" s="8" t="str">
        <f t="shared" si="25"/>
        <v/>
      </c>
      <c r="AA130" s="8" t="str">
        <f t="shared" si="26"/>
        <v/>
      </c>
      <c r="AB130" s="8" t="str">
        <f t="shared" si="27"/>
        <v/>
      </c>
      <c r="AC130" s="5" t="str">
        <f t="shared" si="28"/>
        <v>,		// 126 - '~'</v>
      </c>
      <c r="AD130" s="4"/>
      <c r="AE130" s="31" t="str">
        <f t="shared" si="29"/>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5"/>
        <v>5</v>
      </c>
      <c r="Q131" s="4">
        <f t="shared" si="16"/>
        <v>0</v>
      </c>
      <c r="R131" s="4">
        <f t="shared" si="17"/>
        <v>5</v>
      </c>
      <c r="S131" s="8" t="str">
        <f t="shared" si="18"/>
        <v>, 60</v>
      </c>
      <c r="T131" s="8" t="str">
        <f t="shared" si="19"/>
        <v>, 38</v>
      </c>
      <c r="U131" s="8" t="str">
        <f t="shared" si="20"/>
        <v>, 35</v>
      </c>
      <c r="V131" s="8" t="str">
        <f t="shared" si="21"/>
        <v>, 38</v>
      </c>
      <c r="W131" s="8" t="str">
        <f t="shared" si="22"/>
        <v>, 60</v>
      </c>
      <c r="X131" s="8" t="str">
        <f t="shared" si="23"/>
        <v/>
      </c>
      <c r="Y131" s="8" t="str">
        <f t="shared" si="24"/>
        <v/>
      </c>
      <c r="Z131" s="8" t="str">
        <f t="shared" si="25"/>
        <v/>
      </c>
      <c r="AA131" s="8" t="str">
        <f t="shared" si="26"/>
        <v/>
      </c>
      <c r="AB131" s="8" t="str">
        <f t="shared" si="27"/>
        <v/>
      </c>
      <c r="AC131" s="5" t="str">
        <f t="shared" si="28"/>
        <v>,		// 127 - 'Hollow Up Arrow'</v>
      </c>
      <c r="AD131" s="4"/>
      <c r="AE131" s="31" t="str">
        <f t="shared" si="29"/>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5"/>
        <v>5</v>
      </c>
      <c r="Q132" s="4">
        <f>IF($Q$2,P4,0)</f>
        <v>0</v>
      </c>
      <c r="R132" s="4">
        <f t="shared" si="17"/>
        <v>5</v>
      </c>
      <c r="S132" s="8" t="str">
        <f t="shared" si="18"/>
        <v>, 30</v>
      </c>
      <c r="T132" s="8" t="str">
        <f t="shared" si="19"/>
        <v>, 161</v>
      </c>
      <c r="U132" s="8" t="str">
        <f t="shared" si="20"/>
        <v>, 161</v>
      </c>
      <c r="V132" s="8" t="str">
        <f t="shared" si="21"/>
        <v>, 97</v>
      </c>
      <c r="W132" s="8" t="str">
        <f t="shared" si="22"/>
        <v>, 18</v>
      </c>
      <c r="X132" s="8" t="str">
        <f t="shared" si="23"/>
        <v/>
      </c>
      <c r="Y132" s="8" t="str">
        <f t="shared" si="24"/>
        <v/>
      </c>
      <c r="Z132" s="8" t="str">
        <f t="shared" si="25"/>
        <v/>
      </c>
      <c r="AA132" s="8" t="str">
        <f t="shared" si="26"/>
        <v/>
      </c>
      <c r="AB132" s="8" t="str">
        <f t="shared" si="27"/>
        <v/>
      </c>
      <c r="AC132" s="5" t="str">
        <f t="shared" si="28"/>
        <v>,		// 128 - 'C sedilla'</v>
      </c>
      <c r="AD132" s="4"/>
      <c r="AE132" s="31" t="str">
        <f t="shared" si="29"/>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0">IF(D133&lt;&gt;0,D133,IF(N133&lt;&gt;0,10,IF(M133&lt;&gt;0,9,IF(L133&lt;&gt;0,8,IF(K133&lt;&gt;0,7,IF(J133&lt;&gt;0,6,IF(I133&lt;&gt;0,5,IF(H133&lt;&gt;0,4,IF(G133&lt;&gt;0,3,IF(F133&lt;&gt;0,2,IF(E133&lt;&gt;0,1,0)))))))))))</f>
        <v>5</v>
      </c>
      <c r="Q133" s="4">
        <f t="shared" ref="Q133:Q196" si="31">IF($Q$2,P5,0)</f>
        <v>0</v>
      </c>
      <c r="R133" s="4">
        <f t="shared" ref="R133:R196" si="32">MAX(P133:Q133)</f>
        <v>5</v>
      </c>
      <c r="S133" s="8" t="str">
        <f t="shared" ref="S133:S196" si="33">IF($R133&gt;=S$3,", "&amp;E133,"")</f>
        <v>, 56</v>
      </c>
      <c r="T133" s="8" t="str">
        <f t="shared" ref="T133:T196" si="34">IF($R133&gt;=T$3,", "&amp;F133,"")</f>
        <v>, 66</v>
      </c>
      <c r="U133" s="8" t="str">
        <f t="shared" ref="U133:U196" si="35">IF($R133&gt;=U$3,", "&amp;G133,"")</f>
        <v>, 64</v>
      </c>
      <c r="V133" s="8" t="str">
        <f t="shared" ref="V133:V196" si="36">IF($R133&gt;=V$3,", "&amp;H133,"")</f>
        <v>, 34</v>
      </c>
      <c r="W133" s="8" t="str">
        <f t="shared" ref="W133:W196" si="37">IF($R133&gt;=W$3,", "&amp;I133,"")</f>
        <v>, 120</v>
      </c>
      <c r="X133" s="8" t="str">
        <f t="shared" ref="X133:X196" si="38">IF($R133&gt;=X$3,", "&amp;J133,"")</f>
        <v/>
      </c>
      <c r="Y133" s="8" t="str">
        <f t="shared" ref="Y133:Y196" si="39">IF($R133&gt;=Y$3,", "&amp;K133,"")</f>
        <v/>
      </c>
      <c r="Z133" s="8" t="str">
        <f t="shared" ref="Z133:Z196" si="40">IF($R133&gt;=Z$3,", "&amp;L133,"")</f>
        <v/>
      </c>
      <c r="AA133" s="8" t="str">
        <f t="shared" ref="AA133:AA196" si="41">IF($R133&gt;=AA$3,", "&amp;M133,"")</f>
        <v/>
      </c>
      <c r="AB133" s="8" t="str">
        <f t="shared" ref="AB133:AB196" si="42">IF($R133&gt;=AB$3,", "&amp;N133,"")</f>
        <v/>
      </c>
      <c r="AC133" s="5" t="str">
        <f t="shared" ref="AC133:AC196" si="43">","&amp;  CHAR(9) &amp; CHAR(9) &amp;"// " &amp; A133 &amp; IF(LEN(C133)&lt;&gt;0," - " &amp;  CHAR(39) &amp; C133 &amp; CHAR(39),"")</f>
        <v>,		// 129 - 'u umlaut'</v>
      </c>
      <c r="AD133" s="4"/>
      <c r="AE133" s="31" t="str">
        <f t="shared" si="29"/>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0"/>
        <v>5</v>
      </c>
      <c r="Q134" s="4">
        <f t="shared" si="31"/>
        <v>0</v>
      </c>
      <c r="R134" s="4">
        <f t="shared" si="32"/>
        <v>5</v>
      </c>
      <c r="S134" s="8" t="str">
        <f t="shared" si="33"/>
        <v>, 56</v>
      </c>
      <c r="T134" s="8" t="str">
        <f t="shared" si="34"/>
        <v>, 84</v>
      </c>
      <c r="U134" s="8" t="str">
        <f t="shared" si="35"/>
        <v>, 84</v>
      </c>
      <c r="V134" s="8" t="str">
        <f t="shared" si="36"/>
        <v>, 85</v>
      </c>
      <c r="W134" s="8" t="str">
        <f t="shared" si="37"/>
        <v>, 89</v>
      </c>
      <c r="X134" s="8" t="str">
        <f t="shared" si="38"/>
        <v/>
      </c>
      <c r="Y134" s="8" t="str">
        <f t="shared" si="39"/>
        <v/>
      </c>
      <c r="Z134" s="8" t="str">
        <f t="shared" si="40"/>
        <v/>
      </c>
      <c r="AA134" s="8" t="str">
        <f t="shared" si="41"/>
        <v/>
      </c>
      <c r="AB134" s="8" t="str">
        <f t="shared" si="42"/>
        <v/>
      </c>
      <c r="AC134" s="5" t="str">
        <f t="shared" si="43"/>
        <v>,		// 130 - 'e acute'</v>
      </c>
      <c r="AD134" s="4"/>
      <c r="AE134" s="31" t="str">
        <f t="shared" ref="AE134:AE197" si="44">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0"/>
        <v>5</v>
      </c>
      <c r="Q135" s="4">
        <f t="shared" si="31"/>
        <v>0</v>
      </c>
      <c r="R135" s="4">
        <f t="shared" si="32"/>
        <v>5</v>
      </c>
      <c r="S135" s="8" t="str">
        <f t="shared" si="33"/>
        <v>, 33</v>
      </c>
      <c r="T135" s="8" t="str">
        <f t="shared" si="34"/>
        <v>, 85</v>
      </c>
      <c r="U135" s="8" t="str">
        <f t="shared" si="35"/>
        <v>, 85</v>
      </c>
      <c r="V135" s="8" t="str">
        <f t="shared" si="36"/>
        <v>, 121</v>
      </c>
      <c r="W135" s="8" t="str">
        <f t="shared" si="37"/>
        <v>, 65</v>
      </c>
      <c r="X135" s="8" t="str">
        <f t="shared" si="38"/>
        <v/>
      </c>
      <c r="Y135" s="8" t="str">
        <f t="shared" si="39"/>
        <v/>
      </c>
      <c r="Z135" s="8" t="str">
        <f t="shared" si="40"/>
        <v/>
      </c>
      <c r="AA135" s="8" t="str">
        <f t="shared" si="41"/>
        <v/>
      </c>
      <c r="AB135" s="8" t="str">
        <f t="shared" si="42"/>
        <v/>
      </c>
      <c r="AC135" s="5" t="str">
        <f t="shared" si="43"/>
        <v>,		// 131 - 'a accent'</v>
      </c>
      <c r="AD135" s="4"/>
      <c r="AE135" s="31" t="str">
        <f t="shared" si="44"/>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0"/>
        <v>5</v>
      </c>
      <c r="Q136" s="4">
        <f t="shared" si="31"/>
        <v>0</v>
      </c>
      <c r="R136" s="4">
        <f t="shared" si="32"/>
        <v>5</v>
      </c>
      <c r="S136" s="8" t="str">
        <f t="shared" si="33"/>
        <v>, 33</v>
      </c>
      <c r="T136" s="8" t="str">
        <f t="shared" si="34"/>
        <v>, 84</v>
      </c>
      <c r="U136" s="8" t="str">
        <f t="shared" si="35"/>
        <v>, 84</v>
      </c>
      <c r="V136" s="8" t="str">
        <f t="shared" si="36"/>
        <v>, 120</v>
      </c>
      <c r="W136" s="8" t="str">
        <f t="shared" si="37"/>
        <v>, 65</v>
      </c>
      <c r="X136" s="8" t="str">
        <f t="shared" si="38"/>
        <v/>
      </c>
      <c r="Y136" s="8" t="str">
        <f t="shared" si="39"/>
        <v/>
      </c>
      <c r="Z136" s="8" t="str">
        <f t="shared" si="40"/>
        <v/>
      </c>
      <c r="AA136" s="8" t="str">
        <f t="shared" si="41"/>
        <v/>
      </c>
      <c r="AB136" s="8" t="str">
        <f t="shared" si="42"/>
        <v/>
      </c>
      <c r="AC136" s="5" t="str">
        <f t="shared" si="43"/>
        <v>,		// 132 - 'a umlaut'</v>
      </c>
      <c r="AD136" s="4"/>
      <c r="AE136" s="31" t="str">
        <f t="shared" si="44"/>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0"/>
        <v>5</v>
      </c>
      <c r="Q137" s="4">
        <f t="shared" si="31"/>
        <v>0</v>
      </c>
      <c r="R137" s="4">
        <f t="shared" si="32"/>
        <v>5</v>
      </c>
      <c r="S137" s="8" t="str">
        <f t="shared" si="33"/>
        <v>, 33</v>
      </c>
      <c r="T137" s="8" t="str">
        <f t="shared" si="34"/>
        <v>, 85</v>
      </c>
      <c r="U137" s="8" t="str">
        <f t="shared" si="35"/>
        <v>, 84</v>
      </c>
      <c r="V137" s="8" t="str">
        <f t="shared" si="36"/>
        <v>, 120</v>
      </c>
      <c r="W137" s="8" t="str">
        <f t="shared" si="37"/>
        <v>, 64</v>
      </c>
      <c r="X137" s="8" t="str">
        <f t="shared" si="38"/>
        <v/>
      </c>
      <c r="Y137" s="8" t="str">
        <f t="shared" si="39"/>
        <v/>
      </c>
      <c r="Z137" s="8" t="str">
        <f t="shared" si="40"/>
        <v/>
      </c>
      <c r="AA137" s="8" t="str">
        <f t="shared" si="41"/>
        <v/>
      </c>
      <c r="AB137" s="8" t="str">
        <f t="shared" si="42"/>
        <v/>
      </c>
      <c r="AC137" s="5" t="str">
        <f t="shared" si="43"/>
        <v>,		// 133 - 'a grave'</v>
      </c>
      <c r="AD137" s="4"/>
      <c r="AE137" s="31" t="str">
        <f t="shared" si="44"/>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0"/>
        <v>5</v>
      </c>
      <c r="Q138" s="4">
        <f t="shared" si="31"/>
        <v>0</v>
      </c>
      <c r="R138" s="4">
        <f t="shared" si="32"/>
        <v>5</v>
      </c>
      <c r="S138" s="8" t="str">
        <f t="shared" si="33"/>
        <v>, 32</v>
      </c>
      <c r="T138" s="8" t="str">
        <f t="shared" si="34"/>
        <v>, 84</v>
      </c>
      <c r="U138" s="8" t="str">
        <f t="shared" si="35"/>
        <v>, 85</v>
      </c>
      <c r="V138" s="8" t="str">
        <f t="shared" si="36"/>
        <v>, 121</v>
      </c>
      <c r="W138" s="8" t="str">
        <f t="shared" si="37"/>
        <v>, 64</v>
      </c>
      <c r="X138" s="8" t="str">
        <f t="shared" si="38"/>
        <v/>
      </c>
      <c r="Y138" s="8" t="str">
        <f t="shared" si="39"/>
        <v/>
      </c>
      <c r="Z138" s="8" t="str">
        <f t="shared" si="40"/>
        <v/>
      </c>
      <c r="AA138" s="8" t="str">
        <f t="shared" si="41"/>
        <v/>
      </c>
      <c r="AB138" s="8" t="str">
        <f t="shared" si="42"/>
        <v/>
      </c>
      <c r="AC138" s="5" t="str">
        <f t="shared" si="43"/>
        <v>,		// 134 - 'a acute'</v>
      </c>
      <c r="AD138" s="4"/>
      <c r="AE138" s="31" t="str">
        <f t="shared" si="44"/>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0"/>
        <v>5</v>
      </c>
      <c r="Q139" s="4">
        <f t="shared" si="31"/>
        <v>0</v>
      </c>
      <c r="R139" s="4">
        <f t="shared" si="32"/>
        <v>5</v>
      </c>
      <c r="S139" s="8" t="str">
        <f t="shared" si="33"/>
        <v>, 24</v>
      </c>
      <c r="T139" s="8" t="str">
        <f t="shared" si="34"/>
        <v>, 60</v>
      </c>
      <c r="U139" s="8" t="str">
        <f t="shared" si="35"/>
        <v>, 164</v>
      </c>
      <c r="V139" s="8" t="str">
        <f t="shared" si="36"/>
        <v>, 228</v>
      </c>
      <c r="W139" s="8" t="str">
        <f t="shared" si="37"/>
        <v>, 36</v>
      </c>
      <c r="X139" s="8" t="str">
        <f t="shared" si="38"/>
        <v/>
      </c>
      <c r="Y139" s="8" t="str">
        <f t="shared" si="39"/>
        <v/>
      </c>
      <c r="Z139" s="8" t="str">
        <f t="shared" si="40"/>
        <v/>
      </c>
      <c r="AA139" s="8" t="str">
        <f t="shared" si="41"/>
        <v/>
      </c>
      <c r="AB139" s="8" t="str">
        <f t="shared" si="42"/>
        <v/>
      </c>
      <c r="AC139" s="5" t="str">
        <f t="shared" si="43"/>
        <v>,		// 135 - 'c sedilla'</v>
      </c>
      <c r="AD139" s="4"/>
      <c r="AE139" s="31" t="str">
        <f t="shared" si="44"/>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0"/>
        <v>5</v>
      </c>
      <c r="Q140" s="4">
        <f t="shared" si="31"/>
        <v>0</v>
      </c>
      <c r="R140" s="4">
        <f t="shared" si="32"/>
        <v>5</v>
      </c>
      <c r="S140" s="8" t="str">
        <f t="shared" si="33"/>
        <v>, 57</v>
      </c>
      <c r="T140" s="8" t="str">
        <f t="shared" si="34"/>
        <v>, 85</v>
      </c>
      <c r="U140" s="8" t="str">
        <f t="shared" si="35"/>
        <v>, 85</v>
      </c>
      <c r="V140" s="8" t="str">
        <f t="shared" si="36"/>
        <v>, 85</v>
      </c>
      <c r="W140" s="8" t="str">
        <f t="shared" si="37"/>
        <v>, 89</v>
      </c>
      <c r="X140" s="8" t="str">
        <f t="shared" si="38"/>
        <v/>
      </c>
      <c r="Y140" s="8" t="str">
        <f t="shared" si="39"/>
        <v/>
      </c>
      <c r="Z140" s="8" t="str">
        <f t="shared" si="40"/>
        <v/>
      </c>
      <c r="AA140" s="8" t="str">
        <f t="shared" si="41"/>
        <v/>
      </c>
      <c r="AB140" s="8" t="str">
        <f t="shared" si="42"/>
        <v/>
      </c>
      <c r="AC140" s="5" t="str">
        <f t="shared" si="43"/>
        <v>,		// 136 - 'e accent'</v>
      </c>
      <c r="AD140" s="4"/>
      <c r="AE140" s="31" t="str">
        <f t="shared" si="44"/>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0"/>
        <v>5</v>
      </c>
      <c r="Q141" s="4">
        <f t="shared" si="31"/>
        <v>0</v>
      </c>
      <c r="R141" s="4">
        <f t="shared" si="32"/>
        <v>5</v>
      </c>
      <c r="S141" s="8" t="str">
        <f t="shared" si="33"/>
        <v>, 56</v>
      </c>
      <c r="T141" s="8" t="str">
        <f t="shared" si="34"/>
        <v>, 85</v>
      </c>
      <c r="U141" s="8" t="str">
        <f t="shared" si="35"/>
        <v>, 84</v>
      </c>
      <c r="V141" s="8" t="str">
        <f t="shared" si="36"/>
        <v>, 85</v>
      </c>
      <c r="W141" s="8" t="str">
        <f t="shared" si="37"/>
        <v>, 88</v>
      </c>
      <c r="X141" s="8" t="str">
        <f t="shared" si="38"/>
        <v/>
      </c>
      <c r="Y141" s="8" t="str">
        <f t="shared" si="39"/>
        <v/>
      </c>
      <c r="Z141" s="8" t="str">
        <f t="shared" si="40"/>
        <v/>
      </c>
      <c r="AA141" s="8" t="str">
        <f t="shared" si="41"/>
        <v/>
      </c>
      <c r="AB141" s="8" t="str">
        <f t="shared" si="42"/>
        <v/>
      </c>
      <c r="AC141" s="5" t="str">
        <f t="shared" si="43"/>
        <v>,		// 137 - 'e umlaut'</v>
      </c>
      <c r="AD141" s="4"/>
      <c r="AE141" s="31" t="str">
        <f t="shared" si="44"/>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0"/>
        <v>5</v>
      </c>
      <c r="Q142" s="4">
        <f t="shared" si="31"/>
        <v>0</v>
      </c>
      <c r="R142" s="4">
        <f t="shared" si="32"/>
        <v>5</v>
      </c>
      <c r="S142" s="8" t="str">
        <f t="shared" si="33"/>
        <v>, 57</v>
      </c>
      <c r="T142" s="8" t="str">
        <f t="shared" si="34"/>
        <v>, 85</v>
      </c>
      <c r="U142" s="8" t="str">
        <f t="shared" si="35"/>
        <v>, 84</v>
      </c>
      <c r="V142" s="8" t="str">
        <f t="shared" si="36"/>
        <v>, 84</v>
      </c>
      <c r="W142" s="8" t="str">
        <f t="shared" si="37"/>
        <v>, 88</v>
      </c>
      <c r="X142" s="8" t="str">
        <f t="shared" si="38"/>
        <v/>
      </c>
      <c r="Y142" s="8" t="str">
        <f t="shared" si="39"/>
        <v/>
      </c>
      <c r="Z142" s="8" t="str">
        <f t="shared" si="40"/>
        <v/>
      </c>
      <c r="AA142" s="8" t="str">
        <f t="shared" si="41"/>
        <v/>
      </c>
      <c r="AB142" s="8" t="str">
        <f t="shared" si="42"/>
        <v/>
      </c>
      <c r="AC142" s="5" t="str">
        <f t="shared" si="43"/>
        <v>,		// 138 - 'e grave'</v>
      </c>
      <c r="AD142" s="4"/>
      <c r="AE142" s="31" t="str">
        <f t="shared" si="44"/>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0"/>
        <v>3</v>
      </c>
      <c r="Q143" s="4">
        <f t="shared" si="31"/>
        <v>0</v>
      </c>
      <c r="R143" s="4">
        <f t="shared" si="32"/>
        <v>3</v>
      </c>
      <c r="S143" s="8" t="str">
        <f t="shared" si="33"/>
        <v>, 69</v>
      </c>
      <c r="T143" s="8" t="str">
        <f t="shared" si="34"/>
        <v>, 124</v>
      </c>
      <c r="U143" s="8" t="str">
        <f t="shared" si="35"/>
        <v>, 65</v>
      </c>
      <c r="V143" s="8" t="str">
        <f t="shared" si="36"/>
        <v/>
      </c>
      <c r="W143" s="8" t="str">
        <f t="shared" si="37"/>
        <v/>
      </c>
      <c r="X143" s="8" t="str">
        <f t="shared" si="38"/>
        <v/>
      </c>
      <c r="Y143" s="8" t="str">
        <f t="shared" si="39"/>
        <v/>
      </c>
      <c r="Z143" s="8" t="str">
        <f t="shared" si="40"/>
        <v/>
      </c>
      <c r="AA143" s="8" t="str">
        <f t="shared" si="41"/>
        <v/>
      </c>
      <c r="AB143" s="8" t="str">
        <f t="shared" si="42"/>
        <v/>
      </c>
      <c r="AC143" s="5" t="str">
        <f t="shared" si="43"/>
        <v>,		// 139 - 'i umlaut'</v>
      </c>
      <c r="AD143" s="4"/>
      <c r="AE143" s="31" t="str">
        <f t="shared" si="44"/>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0"/>
        <v>4</v>
      </c>
      <c r="Q144" s="4">
        <f t="shared" si="31"/>
        <v>0</v>
      </c>
      <c r="R144" s="4">
        <f t="shared" si="32"/>
        <v>4</v>
      </c>
      <c r="S144" s="8" t="str">
        <f t="shared" si="33"/>
        <v>, 2</v>
      </c>
      <c r="T144" s="8" t="str">
        <f t="shared" si="34"/>
        <v>, 69</v>
      </c>
      <c r="U144" s="8" t="str">
        <f t="shared" si="35"/>
        <v>, 125</v>
      </c>
      <c r="V144" s="8" t="str">
        <f t="shared" si="36"/>
        <v>, 66</v>
      </c>
      <c r="W144" s="8" t="str">
        <f t="shared" si="37"/>
        <v/>
      </c>
      <c r="X144" s="8" t="str">
        <f t="shared" si="38"/>
        <v/>
      </c>
      <c r="Y144" s="8" t="str">
        <f t="shared" si="39"/>
        <v/>
      </c>
      <c r="Z144" s="8" t="str">
        <f t="shared" si="40"/>
        <v/>
      </c>
      <c r="AA144" s="8" t="str">
        <f t="shared" si="41"/>
        <v/>
      </c>
      <c r="AB144" s="8" t="str">
        <f t="shared" si="42"/>
        <v/>
      </c>
      <c r="AC144" s="5" t="str">
        <f t="shared" si="43"/>
        <v>,		// 140 - 'i hat'</v>
      </c>
      <c r="AD144" s="4"/>
      <c r="AE144" s="31" t="str">
        <f t="shared" si="44"/>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0"/>
        <v>4</v>
      </c>
      <c r="Q145" s="4">
        <f t="shared" si="31"/>
        <v>0</v>
      </c>
      <c r="R145" s="4">
        <f t="shared" si="32"/>
        <v>4</v>
      </c>
      <c r="S145" s="8" t="str">
        <f t="shared" si="33"/>
        <v>, 1</v>
      </c>
      <c r="T145" s="8" t="str">
        <f t="shared" si="34"/>
        <v>, 69</v>
      </c>
      <c r="U145" s="8" t="str">
        <f t="shared" si="35"/>
        <v>, 124</v>
      </c>
      <c r="V145" s="8" t="str">
        <f t="shared" si="36"/>
        <v>, 64</v>
      </c>
      <c r="W145" s="8" t="str">
        <f t="shared" si="37"/>
        <v/>
      </c>
      <c r="X145" s="8" t="str">
        <f t="shared" si="38"/>
        <v/>
      </c>
      <c r="Y145" s="8" t="str">
        <f t="shared" si="39"/>
        <v/>
      </c>
      <c r="Z145" s="8" t="str">
        <f t="shared" si="40"/>
        <v/>
      </c>
      <c r="AA145" s="8" t="str">
        <f t="shared" si="41"/>
        <v/>
      </c>
      <c r="AB145" s="8" t="str">
        <f t="shared" si="42"/>
        <v/>
      </c>
      <c r="AC145" s="5" t="str">
        <f t="shared" si="43"/>
        <v>,		// 141 - 'i grave'</v>
      </c>
      <c r="AD145" s="4"/>
      <c r="AE145" s="31" t="str">
        <f t="shared" si="44"/>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0"/>
        <v>5</v>
      </c>
      <c r="Q146" s="4">
        <f t="shared" si="31"/>
        <v>0</v>
      </c>
      <c r="R146" s="4">
        <f t="shared" si="32"/>
        <v>5</v>
      </c>
      <c r="S146" s="8" t="str">
        <f t="shared" si="33"/>
        <v>, 240</v>
      </c>
      <c r="T146" s="8" t="str">
        <f t="shared" si="34"/>
        <v>, 41</v>
      </c>
      <c r="U146" s="8" t="str">
        <f t="shared" si="35"/>
        <v>, 36</v>
      </c>
      <c r="V146" s="8" t="str">
        <f t="shared" si="36"/>
        <v>, 41</v>
      </c>
      <c r="W146" s="8" t="str">
        <f t="shared" si="37"/>
        <v>, 240</v>
      </c>
      <c r="X146" s="8" t="str">
        <f t="shared" si="38"/>
        <v/>
      </c>
      <c r="Y146" s="8" t="str">
        <f t="shared" si="39"/>
        <v/>
      </c>
      <c r="Z146" s="8" t="str">
        <f t="shared" si="40"/>
        <v/>
      </c>
      <c r="AA146" s="8" t="str">
        <f t="shared" si="41"/>
        <v/>
      </c>
      <c r="AB146" s="8" t="str">
        <f t="shared" si="42"/>
        <v/>
      </c>
      <c r="AC146" s="5" t="str">
        <f t="shared" si="43"/>
        <v>,		// 142 - 'A umlaut'</v>
      </c>
      <c r="AD146" s="4"/>
      <c r="AE146" s="31" t="str">
        <f t="shared" si="44"/>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0"/>
        <v>5</v>
      </c>
      <c r="Q147" s="4">
        <f t="shared" si="31"/>
        <v>0</v>
      </c>
      <c r="R147" s="4">
        <f t="shared" si="32"/>
        <v>5</v>
      </c>
      <c r="S147" s="8" t="str">
        <f t="shared" si="33"/>
        <v>, 240</v>
      </c>
      <c r="T147" s="8" t="str">
        <f t="shared" si="34"/>
        <v>, 40</v>
      </c>
      <c r="U147" s="8" t="str">
        <f t="shared" si="35"/>
        <v>, 37</v>
      </c>
      <c r="V147" s="8" t="str">
        <f t="shared" si="36"/>
        <v>, 40</v>
      </c>
      <c r="W147" s="8" t="str">
        <f t="shared" si="37"/>
        <v>, 240</v>
      </c>
      <c r="X147" s="8" t="str">
        <f t="shared" si="38"/>
        <v/>
      </c>
      <c r="Y147" s="8" t="str">
        <f t="shared" si="39"/>
        <v/>
      </c>
      <c r="Z147" s="8" t="str">
        <f t="shared" si="40"/>
        <v/>
      </c>
      <c r="AA147" s="8" t="str">
        <f t="shared" si="41"/>
        <v/>
      </c>
      <c r="AB147" s="8" t="str">
        <f t="shared" si="42"/>
        <v/>
      </c>
      <c r="AC147" s="5" t="str">
        <f t="shared" si="43"/>
        <v>,		// 143 - 'A dot'</v>
      </c>
      <c r="AD147" s="4"/>
      <c r="AE147" s="31" t="str">
        <f t="shared" si="44"/>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0"/>
        <v>4</v>
      </c>
      <c r="Q148" s="4">
        <f t="shared" si="31"/>
        <v>0</v>
      </c>
      <c r="R148" s="4">
        <f t="shared" si="32"/>
        <v>4</v>
      </c>
      <c r="S148" s="8" t="str">
        <f t="shared" si="33"/>
        <v>, 124</v>
      </c>
      <c r="T148" s="8" t="str">
        <f t="shared" si="34"/>
        <v>, 84</v>
      </c>
      <c r="U148" s="8" t="str">
        <f t="shared" si="35"/>
        <v>, 85</v>
      </c>
      <c r="V148" s="8" t="str">
        <f t="shared" si="36"/>
        <v>, 69</v>
      </c>
      <c r="W148" s="8" t="str">
        <f t="shared" si="37"/>
        <v/>
      </c>
      <c r="X148" s="8" t="str">
        <f t="shared" si="38"/>
        <v/>
      </c>
      <c r="Y148" s="8" t="str">
        <f t="shared" si="39"/>
        <v/>
      </c>
      <c r="Z148" s="8" t="str">
        <f t="shared" si="40"/>
        <v/>
      </c>
      <c r="AA148" s="8" t="str">
        <f t="shared" si="41"/>
        <v/>
      </c>
      <c r="AB148" s="8" t="str">
        <f t="shared" si="42"/>
        <v/>
      </c>
      <c r="AC148" s="5" t="str">
        <f t="shared" si="43"/>
        <v>,		// 144 - 'E grave'</v>
      </c>
      <c r="AD148" s="4"/>
      <c r="AE148" s="31" t="str">
        <f t="shared" si="44"/>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0"/>
        <v>7</v>
      </c>
      <c r="Q149" s="4">
        <f t="shared" si="31"/>
        <v>0</v>
      </c>
      <c r="R149" s="4">
        <f t="shared" si="32"/>
        <v>7</v>
      </c>
      <c r="S149" s="8" t="str">
        <f t="shared" si="33"/>
        <v>, 32</v>
      </c>
      <c r="T149" s="8" t="str">
        <f t="shared" si="34"/>
        <v>, 84</v>
      </c>
      <c r="U149" s="8" t="str">
        <f t="shared" si="35"/>
        <v>, 84</v>
      </c>
      <c r="V149" s="8" t="str">
        <f t="shared" si="36"/>
        <v>, 124</v>
      </c>
      <c r="W149" s="8" t="str">
        <f t="shared" si="37"/>
        <v>, 84</v>
      </c>
      <c r="X149" s="8" t="str">
        <f t="shared" si="38"/>
        <v>, 84</v>
      </c>
      <c r="Y149" s="8" t="str">
        <f t="shared" si="39"/>
        <v>, 8</v>
      </c>
      <c r="Z149" s="8" t="str">
        <f t="shared" si="40"/>
        <v/>
      </c>
      <c r="AA149" s="8" t="str">
        <f t="shared" si="41"/>
        <v/>
      </c>
      <c r="AB149" s="8" t="str">
        <f t="shared" si="42"/>
        <v/>
      </c>
      <c r="AC149" s="5" t="str">
        <f t="shared" si="43"/>
        <v>,		// 145 - 'ae'</v>
      </c>
      <c r="AD149" s="4"/>
      <c r="AE149" s="31" t="str">
        <f t="shared" si="44"/>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0"/>
        <v>6</v>
      </c>
      <c r="Q150" s="4">
        <f t="shared" si="31"/>
        <v>0</v>
      </c>
      <c r="R150" s="4">
        <f t="shared" si="32"/>
        <v>6</v>
      </c>
      <c r="S150" s="8" t="str">
        <f t="shared" si="33"/>
        <v>, 124</v>
      </c>
      <c r="T150" s="8" t="str">
        <f t="shared" si="34"/>
        <v>, 10</v>
      </c>
      <c r="U150" s="8" t="str">
        <f t="shared" si="35"/>
        <v>, 9</v>
      </c>
      <c r="V150" s="8" t="str">
        <f t="shared" si="36"/>
        <v>, 127</v>
      </c>
      <c r="W150" s="8" t="str">
        <f t="shared" si="37"/>
        <v>, 73</v>
      </c>
      <c r="X150" s="8" t="str">
        <f t="shared" si="38"/>
        <v>, 73</v>
      </c>
      <c r="Y150" s="8" t="str">
        <f t="shared" si="39"/>
        <v/>
      </c>
      <c r="Z150" s="8" t="str">
        <f t="shared" si="40"/>
        <v/>
      </c>
      <c r="AA150" s="8" t="str">
        <f t="shared" si="41"/>
        <v/>
      </c>
      <c r="AB150" s="8" t="str">
        <f t="shared" si="42"/>
        <v/>
      </c>
      <c r="AC150" s="5" t="str">
        <f t="shared" si="43"/>
        <v>,		// 146 - 'AE'</v>
      </c>
      <c r="AD150" s="4"/>
      <c r="AE150" s="31" t="str">
        <f t="shared" si="44"/>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0"/>
        <v>5</v>
      </c>
      <c r="Q151" s="4">
        <f t="shared" si="31"/>
        <v>0</v>
      </c>
      <c r="R151" s="4">
        <f t="shared" si="32"/>
        <v>5</v>
      </c>
      <c r="S151" s="8" t="str">
        <f t="shared" si="33"/>
        <v>, 50</v>
      </c>
      <c r="T151" s="8" t="str">
        <f t="shared" si="34"/>
        <v>, 73</v>
      </c>
      <c r="U151" s="8" t="str">
        <f t="shared" si="35"/>
        <v>, 73</v>
      </c>
      <c r="V151" s="8" t="str">
        <f t="shared" si="36"/>
        <v>, 73</v>
      </c>
      <c r="W151" s="8" t="str">
        <f t="shared" si="37"/>
        <v>, 50</v>
      </c>
      <c r="X151" s="8" t="str">
        <f t="shared" si="38"/>
        <v/>
      </c>
      <c r="Y151" s="8" t="str">
        <f t="shared" si="39"/>
        <v/>
      </c>
      <c r="Z151" s="8" t="str">
        <f t="shared" si="40"/>
        <v/>
      </c>
      <c r="AA151" s="8" t="str">
        <f t="shared" si="41"/>
        <v/>
      </c>
      <c r="AB151" s="8" t="str">
        <f t="shared" si="42"/>
        <v/>
      </c>
      <c r="AC151" s="5" t="str">
        <f t="shared" si="43"/>
        <v>,		// 147 - 'o hat'</v>
      </c>
      <c r="AD151" s="4"/>
      <c r="AE151" s="31" t="str">
        <f t="shared" si="44"/>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0"/>
        <v>5</v>
      </c>
      <c r="Q152" s="4">
        <f t="shared" si="31"/>
        <v>0</v>
      </c>
      <c r="R152" s="4">
        <f t="shared" si="32"/>
        <v>5</v>
      </c>
      <c r="S152" s="8" t="str">
        <f t="shared" si="33"/>
        <v>, 48</v>
      </c>
      <c r="T152" s="8" t="str">
        <f t="shared" si="34"/>
        <v>, 74</v>
      </c>
      <c r="U152" s="8" t="str">
        <f t="shared" si="35"/>
        <v>, 72</v>
      </c>
      <c r="V152" s="8" t="str">
        <f t="shared" si="36"/>
        <v>, 74</v>
      </c>
      <c r="W152" s="8" t="str">
        <f t="shared" si="37"/>
        <v>, 48</v>
      </c>
      <c r="X152" s="8" t="str">
        <f t="shared" si="38"/>
        <v/>
      </c>
      <c r="Y152" s="8" t="str">
        <f t="shared" si="39"/>
        <v/>
      </c>
      <c r="Z152" s="8" t="str">
        <f t="shared" si="40"/>
        <v/>
      </c>
      <c r="AA152" s="8" t="str">
        <f t="shared" si="41"/>
        <v/>
      </c>
      <c r="AB152" s="8" t="str">
        <f t="shared" si="42"/>
        <v/>
      </c>
      <c r="AC152" s="5" t="str">
        <f t="shared" si="43"/>
        <v>,		// 148 - 'o umlaut'</v>
      </c>
      <c r="AD152" s="4"/>
      <c r="AE152" s="31" t="str">
        <f t="shared" si="44"/>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0"/>
        <v>5</v>
      </c>
      <c r="Q153" s="4">
        <f t="shared" si="31"/>
        <v>0</v>
      </c>
      <c r="R153" s="4">
        <f t="shared" si="32"/>
        <v>5</v>
      </c>
      <c r="S153" s="8" t="str">
        <f t="shared" si="33"/>
        <v>, 50</v>
      </c>
      <c r="T153" s="8" t="str">
        <f t="shared" si="34"/>
        <v>, 74</v>
      </c>
      <c r="U153" s="8" t="str">
        <f t="shared" si="35"/>
        <v>, 72</v>
      </c>
      <c r="V153" s="8" t="str">
        <f t="shared" si="36"/>
        <v>, 72</v>
      </c>
      <c r="W153" s="8" t="str">
        <f t="shared" si="37"/>
        <v>, 48</v>
      </c>
      <c r="X153" s="8" t="str">
        <f t="shared" si="38"/>
        <v/>
      </c>
      <c r="Y153" s="8" t="str">
        <f t="shared" si="39"/>
        <v/>
      </c>
      <c r="Z153" s="8" t="str">
        <f t="shared" si="40"/>
        <v/>
      </c>
      <c r="AA153" s="8" t="str">
        <f t="shared" si="41"/>
        <v/>
      </c>
      <c r="AB153" s="8" t="str">
        <f t="shared" si="42"/>
        <v/>
      </c>
      <c r="AC153" s="5" t="str">
        <f t="shared" si="43"/>
        <v>,		// 149 - 'o grave'</v>
      </c>
      <c r="AD153" s="4"/>
      <c r="AE153" s="31" t="str">
        <f t="shared" si="44"/>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0"/>
        <v>5</v>
      </c>
      <c r="Q154" s="4">
        <f t="shared" si="31"/>
        <v>0</v>
      </c>
      <c r="R154" s="4">
        <f t="shared" si="32"/>
        <v>5</v>
      </c>
      <c r="S154" s="8" t="str">
        <f t="shared" si="33"/>
        <v>, 58</v>
      </c>
      <c r="T154" s="8" t="str">
        <f t="shared" si="34"/>
        <v>, 65</v>
      </c>
      <c r="U154" s="8" t="str">
        <f t="shared" si="35"/>
        <v>, 65</v>
      </c>
      <c r="V154" s="8" t="str">
        <f t="shared" si="36"/>
        <v>, 33</v>
      </c>
      <c r="W154" s="8" t="str">
        <f t="shared" si="37"/>
        <v>, 122</v>
      </c>
      <c r="X154" s="8" t="str">
        <f t="shared" si="38"/>
        <v/>
      </c>
      <c r="Y154" s="8" t="str">
        <f t="shared" si="39"/>
        <v/>
      </c>
      <c r="Z154" s="8" t="str">
        <f t="shared" si="40"/>
        <v/>
      </c>
      <c r="AA154" s="8" t="str">
        <f t="shared" si="41"/>
        <v/>
      </c>
      <c r="AB154" s="8" t="str">
        <f t="shared" si="42"/>
        <v/>
      </c>
      <c r="AC154" s="5" t="str">
        <f t="shared" si="43"/>
        <v>,		// 150 - 'u hat'</v>
      </c>
      <c r="AD154" s="4"/>
      <c r="AE154" s="31" t="str">
        <f t="shared" si="44"/>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0"/>
        <v>5</v>
      </c>
      <c r="Q155" s="4">
        <f t="shared" si="31"/>
        <v>0</v>
      </c>
      <c r="R155" s="4">
        <f t="shared" si="32"/>
        <v>5</v>
      </c>
      <c r="S155" s="8" t="str">
        <f t="shared" si="33"/>
        <v>, 58</v>
      </c>
      <c r="T155" s="8" t="str">
        <f t="shared" si="34"/>
        <v>, 66</v>
      </c>
      <c r="U155" s="8" t="str">
        <f t="shared" si="35"/>
        <v>, 64</v>
      </c>
      <c r="V155" s="8" t="str">
        <f t="shared" si="36"/>
        <v>, 32</v>
      </c>
      <c r="W155" s="8" t="str">
        <f t="shared" si="37"/>
        <v>, 120</v>
      </c>
      <c r="X155" s="8" t="str">
        <f t="shared" si="38"/>
        <v/>
      </c>
      <c r="Y155" s="8" t="str">
        <f t="shared" si="39"/>
        <v/>
      </c>
      <c r="Z155" s="8" t="str">
        <f t="shared" si="40"/>
        <v/>
      </c>
      <c r="AA155" s="8" t="str">
        <f t="shared" si="41"/>
        <v/>
      </c>
      <c r="AB155" s="8" t="str">
        <f t="shared" si="42"/>
        <v/>
      </c>
      <c r="AC155" s="5" t="str">
        <f t="shared" si="43"/>
        <v>,		// 151 - 'u grave'</v>
      </c>
      <c r="AD155" s="4"/>
      <c r="AE155" s="31" t="str">
        <f t="shared" si="44"/>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0"/>
        <v>4</v>
      </c>
      <c r="Q156" s="4">
        <f t="shared" si="31"/>
        <v>0</v>
      </c>
      <c r="R156" s="4">
        <f t="shared" si="32"/>
        <v>4</v>
      </c>
      <c r="S156" s="8" t="str">
        <f t="shared" si="33"/>
        <v>, 157</v>
      </c>
      <c r="T156" s="8" t="str">
        <f t="shared" si="34"/>
        <v>, 160</v>
      </c>
      <c r="U156" s="8" t="str">
        <f t="shared" si="35"/>
        <v>, 160</v>
      </c>
      <c r="V156" s="8" t="str">
        <f t="shared" si="36"/>
        <v>, 125</v>
      </c>
      <c r="W156" s="8" t="str">
        <f t="shared" si="37"/>
        <v/>
      </c>
      <c r="X156" s="8" t="str">
        <f t="shared" si="38"/>
        <v/>
      </c>
      <c r="Y156" s="8" t="str">
        <f t="shared" si="39"/>
        <v/>
      </c>
      <c r="Z156" s="8" t="str">
        <f t="shared" si="40"/>
        <v/>
      </c>
      <c r="AA156" s="8" t="str">
        <f t="shared" si="41"/>
        <v/>
      </c>
      <c r="AB156" s="8" t="str">
        <f t="shared" si="42"/>
        <v/>
      </c>
      <c r="AC156" s="5" t="str">
        <f t="shared" si="43"/>
        <v>,		// 152 - 'y umlaut'</v>
      </c>
      <c r="AD156" s="4"/>
      <c r="AE156" s="31" t="str">
        <f t="shared" si="44"/>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0"/>
        <v>5</v>
      </c>
      <c r="Q157" s="4">
        <f t="shared" si="31"/>
        <v>0</v>
      </c>
      <c r="R157" s="4">
        <f t="shared" si="32"/>
        <v>5</v>
      </c>
      <c r="S157" s="8" t="str">
        <f t="shared" si="33"/>
        <v>, 56</v>
      </c>
      <c r="T157" s="8" t="str">
        <f t="shared" si="34"/>
        <v>, 69</v>
      </c>
      <c r="U157" s="8" t="str">
        <f t="shared" si="35"/>
        <v>, 68</v>
      </c>
      <c r="V157" s="8" t="str">
        <f t="shared" si="36"/>
        <v>, 69</v>
      </c>
      <c r="W157" s="8" t="str">
        <f t="shared" si="37"/>
        <v>, 56</v>
      </c>
      <c r="X157" s="8" t="str">
        <f t="shared" si="38"/>
        <v/>
      </c>
      <c r="Y157" s="8" t="str">
        <f t="shared" si="39"/>
        <v/>
      </c>
      <c r="Z157" s="8" t="str">
        <f t="shared" si="40"/>
        <v/>
      </c>
      <c r="AA157" s="8" t="str">
        <f t="shared" si="41"/>
        <v/>
      </c>
      <c r="AB157" s="8" t="str">
        <f t="shared" si="42"/>
        <v/>
      </c>
      <c r="AC157" s="5" t="str">
        <f t="shared" si="43"/>
        <v>,		// 153 - 'O umlaut'</v>
      </c>
      <c r="AD157" s="4"/>
      <c r="AE157" s="31" t="str">
        <f t="shared" si="44"/>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0"/>
        <v>5</v>
      </c>
      <c r="Q158" s="4">
        <f t="shared" si="31"/>
        <v>0</v>
      </c>
      <c r="R158" s="4">
        <f t="shared" si="32"/>
        <v>5</v>
      </c>
      <c r="S158" s="8" t="str">
        <f t="shared" si="33"/>
        <v>, 60</v>
      </c>
      <c r="T158" s="8" t="str">
        <f t="shared" si="34"/>
        <v>, 65</v>
      </c>
      <c r="U158" s="8" t="str">
        <f t="shared" si="35"/>
        <v>, 64</v>
      </c>
      <c r="V158" s="8" t="str">
        <f t="shared" si="36"/>
        <v>, 65</v>
      </c>
      <c r="W158" s="8" t="str">
        <f t="shared" si="37"/>
        <v>, 60</v>
      </c>
      <c r="X158" s="8" t="str">
        <f t="shared" si="38"/>
        <v/>
      </c>
      <c r="Y158" s="8" t="str">
        <f t="shared" si="39"/>
        <v/>
      </c>
      <c r="Z158" s="8" t="str">
        <f t="shared" si="40"/>
        <v/>
      </c>
      <c r="AA158" s="8" t="str">
        <f t="shared" si="41"/>
        <v/>
      </c>
      <c r="AB158" s="8" t="str">
        <f t="shared" si="42"/>
        <v/>
      </c>
      <c r="AC158" s="5" t="str">
        <f t="shared" si="43"/>
        <v>,		// 154 - 'U umlaut'</v>
      </c>
      <c r="AD158" s="4"/>
      <c r="AE158" s="31" t="str">
        <f t="shared" si="44"/>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0"/>
        <v>5</v>
      </c>
      <c r="Q159" s="4">
        <f t="shared" si="31"/>
        <v>0</v>
      </c>
      <c r="R159" s="4">
        <f t="shared" si="32"/>
        <v>5</v>
      </c>
      <c r="S159" s="8" t="str">
        <f t="shared" si="33"/>
        <v>, 60</v>
      </c>
      <c r="T159" s="8" t="str">
        <f t="shared" si="34"/>
        <v>, 36</v>
      </c>
      <c r="U159" s="8" t="str">
        <f t="shared" si="35"/>
        <v>, 255</v>
      </c>
      <c r="V159" s="8" t="str">
        <f t="shared" si="36"/>
        <v>, 36</v>
      </c>
      <c r="W159" s="8" t="str">
        <f t="shared" si="37"/>
        <v>, 36</v>
      </c>
      <c r="X159" s="8" t="str">
        <f t="shared" si="38"/>
        <v/>
      </c>
      <c r="Y159" s="8" t="str">
        <f t="shared" si="39"/>
        <v/>
      </c>
      <c r="Z159" s="8" t="str">
        <f t="shared" si="40"/>
        <v/>
      </c>
      <c r="AA159" s="8" t="str">
        <f t="shared" si="41"/>
        <v/>
      </c>
      <c r="AB159" s="8" t="str">
        <f t="shared" si="42"/>
        <v/>
      </c>
      <c r="AC159" s="5" t="str">
        <f t="shared" si="43"/>
        <v>,		// 155 - 'Cents'</v>
      </c>
      <c r="AD159" s="4"/>
      <c r="AE159" s="31" t="str">
        <f t="shared" si="44"/>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0"/>
        <v>5</v>
      </c>
      <c r="Q160" s="4">
        <f t="shared" si="31"/>
        <v>0</v>
      </c>
      <c r="R160" s="4">
        <f t="shared" si="32"/>
        <v>5</v>
      </c>
      <c r="S160" s="8" t="str">
        <f t="shared" si="33"/>
        <v>, 72</v>
      </c>
      <c r="T160" s="8" t="str">
        <f t="shared" si="34"/>
        <v>, 126</v>
      </c>
      <c r="U160" s="8" t="str">
        <f t="shared" si="35"/>
        <v>, 73</v>
      </c>
      <c r="V160" s="8" t="str">
        <f t="shared" si="36"/>
        <v>, 67</v>
      </c>
      <c r="W160" s="8" t="str">
        <f t="shared" si="37"/>
        <v>, 102</v>
      </c>
      <c r="X160" s="8" t="str">
        <f t="shared" si="38"/>
        <v/>
      </c>
      <c r="Y160" s="8" t="str">
        <f t="shared" si="39"/>
        <v/>
      </c>
      <c r="Z160" s="8" t="str">
        <f t="shared" si="40"/>
        <v/>
      </c>
      <c r="AA160" s="8" t="str">
        <f t="shared" si="41"/>
        <v/>
      </c>
      <c r="AB160" s="8" t="str">
        <f t="shared" si="42"/>
        <v/>
      </c>
      <c r="AC160" s="5" t="str">
        <f t="shared" si="43"/>
        <v>,		// 156 - 'Pounds'</v>
      </c>
      <c r="AD160" s="4"/>
      <c r="AE160" s="31" t="str">
        <f t="shared" si="44"/>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0"/>
        <v>5</v>
      </c>
      <c r="Q161" s="4">
        <f t="shared" si="31"/>
        <v>0</v>
      </c>
      <c r="R161" s="4">
        <f t="shared" si="32"/>
        <v>5</v>
      </c>
      <c r="S161" s="8" t="str">
        <f t="shared" si="33"/>
        <v>, 43</v>
      </c>
      <c r="T161" s="8" t="str">
        <f t="shared" si="34"/>
        <v>, 47</v>
      </c>
      <c r="U161" s="8" t="str">
        <f t="shared" si="35"/>
        <v>, 252</v>
      </c>
      <c r="V161" s="8" t="str">
        <f t="shared" si="36"/>
        <v>, 47</v>
      </c>
      <c r="W161" s="8" t="str">
        <f t="shared" si="37"/>
        <v>, 43</v>
      </c>
      <c r="X161" s="8" t="str">
        <f t="shared" si="38"/>
        <v/>
      </c>
      <c r="Y161" s="8" t="str">
        <f t="shared" si="39"/>
        <v/>
      </c>
      <c r="Z161" s="8" t="str">
        <f t="shared" si="40"/>
        <v/>
      </c>
      <c r="AA161" s="8" t="str">
        <f t="shared" si="41"/>
        <v/>
      </c>
      <c r="AB161" s="8" t="str">
        <f t="shared" si="42"/>
        <v/>
      </c>
      <c r="AC161" s="5" t="str">
        <f t="shared" si="43"/>
        <v>,		// 157 - 'Yen'</v>
      </c>
      <c r="AD161" s="4"/>
      <c r="AE161" s="31" t="str">
        <f t="shared" si="44"/>
        <v>5, 43, 47, 252, 47, 43,		// 157 - 'Yen'</v>
      </c>
      <c r="AF161" s="4"/>
    </row>
    <row r="162" spans="1:32" x14ac:dyDescent="0.25">
      <c r="A162" s="16">
        <v>158</v>
      </c>
      <c r="B162" s="20"/>
      <c r="C162" s="38"/>
      <c r="D162" s="42">
        <v>0</v>
      </c>
      <c r="E162" s="11">
        <v>0</v>
      </c>
      <c r="F162" s="11">
        <v>0</v>
      </c>
      <c r="G162" s="11">
        <v>0</v>
      </c>
      <c r="H162" s="11">
        <v>0</v>
      </c>
      <c r="I162" s="11">
        <v>0</v>
      </c>
      <c r="J162" s="11">
        <v>0</v>
      </c>
      <c r="K162" s="11">
        <v>0</v>
      </c>
      <c r="L162" s="11">
        <v>0</v>
      </c>
      <c r="M162" s="11">
        <v>0</v>
      </c>
      <c r="N162" s="12">
        <v>0</v>
      </c>
      <c r="O162" s="4"/>
      <c r="P162" s="4">
        <f t="shared" si="30"/>
        <v>0</v>
      </c>
      <c r="Q162" s="4">
        <f t="shared" si="31"/>
        <v>0</v>
      </c>
      <c r="R162" s="4">
        <f t="shared" si="32"/>
        <v>0</v>
      </c>
      <c r="S162" s="8" t="str">
        <f t="shared" si="33"/>
        <v/>
      </c>
      <c r="T162" s="8" t="str">
        <f t="shared" si="34"/>
        <v/>
      </c>
      <c r="U162" s="8" t="str">
        <f t="shared" si="35"/>
        <v/>
      </c>
      <c r="V162" s="8" t="str">
        <f t="shared" si="36"/>
        <v/>
      </c>
      <c r="W162" s="8" t="str">
        <f t="shared" si="37"/>
        <v/>
      </c>
      <c r="X162" s="8" t="str">
        <f t="shared" si="38"/>
        <v/>
      </c>
      <c r="Y162" s="8" t="str">
        <f t="shared" si="39"/>
        <v/>
      </c>
      <c r="Z162" s="8" t="str">
        <f t="shared" si="40"/>
        <v/>
      </c>
      <c r="AA162" s="8" t="str">
        <f t="shared" si="41"/>
        <v/>
      </c>
      <c r="AB162" s="8" t="str">
        <f t="shared" si="42"/>
        <v/>
      </c>
      <c r="AC162" s="5" t="str">
        <f t="shared" si="43"/>
        <v>,		// 158</v>
      </c>
      <c r="AD162" s="4"/>
      <c r="AE162" s="31" t="str">
        <f t="shared" si="44"/>
        <v>0,		// 158</v>
      </c>
      <c r="AF162" s="4"/>
    </row>
    <row r="163" spans="1:32" x14ac:dyDescent="0.25">
      <c r="A163" s="16">
        <v>159</v>
      </c>
      <c r="B163" s="20"/>
      <c r="C163" s="38"/>
      <c r="D163" s="42">
        <v>0</v>
      </c>
      <c r="E163" s="11">
        <v>0</v>
      </c>
      <c r="F163" s="11">
        <v>0</v>
      </c>
      <c r="G163" s="11">
        <v>0</v>
      </c>
      <c r="H163" s="11">
        <v>0</v>
      </c>
      <c r="I163" s="11">
        <v>0</v>
      </c>
      <c r="J163" s="11">
        <v>0</v>
      </c>
      <c r="K163" s="11">
        <v>0</v>
      </c>
      <c r="L163" s="11">
        <v>0</v>
      </c>
      <c r="M163" s="11">
        <v>0</v>
      </c>
      <c r="N163" s="12">
        <v>0</v>
      </c>
      <c r="O163" s="4"/>
      <c r="P163" s="4">
        <f t="shared" si="30"/>
        <v>0</v>
      </c>
      <c r="Q163" s="4">
        <f t="shared" si="31"/>
        <v>0</v>
      </c>
      <c r="R163" s="4">
        <f t="shared" si="32"/>
        <v>0</v>
      </c>
      <c r="S163" s="8" t="str">
        <f t="shared" si="33"/>
        <v/>
      </c>
      <c r="T163" s="8" t="str">
        <f t="shared" si="34"/>
        <v/>
      </c>
      <c r="U163" s="8" t="str">
        <f t="shared" si="35"/>
        <v/>
      </c>
      <c r="V163" s="8" t="str">
        <f t="shared" si="36"/>
        <v/>
      </c>
      <c r="W163" s="8" t="str">
        <f t="shared" si="37"/>
        <v/>
      </c>
      <c r="X163" s="8" t="str">
        <f t="shared" si="38"/>
        <v/>
      </c>
      <c r="Y163" s="8" t="str">
        <f t="shared" si="39"/>
        <v/>
      </c>
      <c r="Z163" s="8" t="str">
        <f t="shared" si="40"/>
        <v/>
      </c>
      <c r="AA163" s="8" t="str">
        <f t="shared" si="41"/>
        <v/>
      </c>
      <c r="AB163" s="8" t="str">
        <f t="shared" si="42"/>
        <v/>
      </c>
      <c r="AC163" s="5" t="str">
        <f t="shared" si="43"/>
        <v>,		// 159</v>
      </c>
      <c r="AD163" s="4"/>
      <c r="AE163" s="31" t="str">
        <f t="shared" si="44"/>
        <v>0,		// 159</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0"/>
        <v>5</v>
      </c>
      <c r="Q164" s="4">
        <f t="shared" si="31"/>
        <v>0</v>
      </c>
      <c r="R164" s="4">
        <f t="shared" si="32"/>
        <v>5</v>
      </c>
      <c r="S164" s="8" t="str">
        <f t="shared" si="33"/>
        <v>, 32</v>
      </c>
      <c r="T164" s="8" t="str">
        <f t="shared" si="34"/>
        <v>, 84</v>
      </c>
      <c r="U164" s="8" t="str">
        <f t="shared" si="35"/>
        <v>, 84</v>
      </c>
      <c r="V164" s="8" t="str">
        <f t="shared" si="36"/>
        <v>, 121</v>
      </c>
      <c r="W164" s="8" t="str">
        <f t="shared" si="37"/>
        <v>, 65</v>
      </c>
      <c r="X164" s="8" t="str">
        <f t="shared" si="38"/>
        <v/>
      </c>
      <c r="Y164" s="8" t="str">
        <f t="shared" si="39"/>
        <v/>
      </c>
      <c r="Z164" s="8" t="str">
        <f t="shared" si="40"/>
        <v/>
      </c>
      <c r="AA164" s="8" t="str">
        <f t="shared" si="41"/>
        <v/>
      </c>
      <c r="AB164" s="8" t="str">
        <f t="shared" si="42"/>
        <v/>
      </c>
      <c r="AC164" s="5" t="str">
        <f t="shared" si="43"/>
        <v>,		// 160 - 'a acute'</v>
      </c>
      <c r="AD164" s="4"/>
      <c r="AE164" s="31" t="str">
        <f t="shared" si="44"/>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0"/>
        <v>3</v>
      </c>
      <c r="Q165" s="4">
        <f t="shared" si="31"/>
        <v>0</v>
      </c>
      <c r="R165" s="4">
        <f t="shared" si="32"/>
        <v>3</v>
      </c>
      <c r="S165" s="8" t="str">
        <f t="shared" si="33"/>
        <v>, 68</v>
      </c>
      <c r="T165" s="8" t="str">
        <f t="shared" si="34"/>
        <v>, 125</v>
      </c>
      <c r="U165" s="8" t="str">
        <f t="shared" si="35"/>
        <v>, 65</v>
      </c>
      <c r="V165" s="8" t="str">
        <f t="shared" si="36"/>
        <v/>
      </c>
      <c r="W165" s="8" t="str">
        <f t="shared" si="37"/>
        <v/>
      </c>
      <c r="X165" s="8" t="str">
        <f t="shared" si="38"/>
        <v/>
      </c>
      <c r="Y165" s="8" t="str">
        <f t="shared" si="39"/>
        <v/>
      </c>
      <c r="Z165" s="8" t="str">
        <f t="shared" si="40"/>
        <v/>
      </c>
      <c r="AA165" s="8" t="str">
        <f t="shared" si="41"/>
        <v/>
      </c>
      <c r="AB165" s="8" t="str">
        <f t="shared" si="42"/>
        <v/>
      </c>
      <c r="AC165" s="5" t="str">
        <f t="shared" si="43"/>
        <v>,		// 161 - 'i acute'</v>
      </c>
      <c r="AD165" s="4"/>
      <c r="AE165" s="31" t="str">
        <f t="shared" si="44"/>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0"/>
        <v>5</v>
      </c>
      <c r="Q166" s="4">
        <f t="shared" si="31"/>
        <v>0</v>
      </c>
      <c r="R166" s="4">
        <f t="shared" si="32"/>
        <v>5</v>
      </c>
      <c r="S166" s="8" t="str">
        <f t="shared" si="33"/>
        <v>, 48</v>
      </c>
      <c r="T166" s="8" t="str">
        <f t="shared" si="34"/>
        <v>, 72</v>
      </c>
      <c r="U166" s="8" t="str">
        <f t="shared" si="35"/>
        <v>, 72</v>
      </c>
      <c r="V166" s="8" t="str">
        <f t="shared" si="36"/>
        <v>, 74</v>
      </c>
      <c r="W166" s="8" t="str">
        <f t="shared" si="37"/>
        <v>, 50</v>
      </c>
      <c r="X166" s="8" t="str">
        <f t="shared" si="38"/>
        <v/>
      </c>
      <c r="Y166" s="8" t="str">
        <f t="shared" si="39"/>
        <v/>
      </c>
      <c r="Z166" s="8" t="str">
        <f t="shared" si="40"/>
        <v/>
      </c>
      <c r="AA166" s="8" t="str">
        <f t="shared" si="41"/>
        <v/>
      </c>
      <c r="AB166" s="8" t="str">
        <f t="shared" si="42"/>
        <v/>
      </c>
      <c r="AC166" s="5" t="str">
        <f t="shared" si="43"/>
        <v>,		// 162 - 'o acute'</v>
      </c>
      <c r="AD166" s="4"/>
      <c r="AE166" s="31" t="str">
        <f t="shared" si="44"/>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0"/>
        <v>5</v>
      </c>
      <c r="Q167" s="4">
        <f t="shared" si="31"/>
        <v>0</v>
      </c>
      <c r="R167" s="4">
        <f t="shared" si="32"/>
        <v>5</v>
      </c>
      <c r="S167" s="8" t="str">
        <f t="shared" si="33"/>
        <v>, 56</v>
      </c>
      <c r="T167" s="8" t="str">
        <f t="shared" si="34"/>
        <v>, 64</v>
      </c>
      <c r="U167" s="8" t="str">
        <f t="shared" si="35"/>
        <v>, 64</v>
      </c>
      <c r="V167" s="8" t="str">
        <f t="shared" si="36"/>
        <v>, 34</v>
      </c>
      <c r="W167" s="8" t="str">
        <f t="shared" si="37"/>
        <v>, 122</v>
      </c>
      <c r="X167" s="8" t="str">
        <f t="shared" si="38"/>
        <v/>
      </c>
      <c r="Y167" s="8" t="str">
        <f t="shared" si="39"/>
        <v/>
      </c>
      <c r="Z167" s="8" t="str">
        <f t="shared" si="40"/>
        <v/>
      </c>
      <c r="AA167" s="8" t="str">
        <f t="shared" si="41"/>
        <v/>
      </c>
      <c r="AB167" s="8" t="str">
        <f t="shared" si="42"/>
        <v/>
      </c>
      <c r="AC167" s="5" t="str">
        <f t="shared" si="43"/>
        <v>,		// 163 - 'u acute'</v>
      </c>
      <c r="AD167" s="4"/>
      <c r="AE167" s="31" t="str">
        <f t="shared" si="44"/>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0"/>
        <v>4</v>
      </c>
      <c r="Q168" s="4">
        <f t="shared" si="31"/>
        <v>0</v>
      </c>
      <c r="R168" s="4">
        <f t="shared" si="32"/>
        <v>4</v>
      </c>
      <c r="S168" s="8" t="str">
        <f t="shared" si="33"/>
        <v>, 122</v>
      </c>
      <c r="T168" s="8" t="str">
        <f t="shared" si="34"/>
        <v>, 10</v>
      </c>
      <c r="U168" s="8" t="str">
        <f t="shared" si="35"/>
        <v>, 10</v>
      </c>
      <c r="V168" s="8" t="str">
        <f t="shared" si="36"/>
        <v>, 114</v>
      </c>
      <c r="W168" s="8" t="str">
        <f t="shared" si="37"/>
        <v/>
      </c>
      <c r="X168" s="8" t="str">
        <f t="shared" si="38"/>
        <v/>
      </c>
      <c r="Y168" s="8" t="str">
        <f t="shared" si="39"/>
        <v/>
      </c>
      <c r="Z168" s="8" t="str">
        <f t="shared" si="40"/>
        <v/>
      </c>
      <c r="AA168" s="8" t="str">
        <f t="shared" si="41"/>
        <v/>
      </c>
      <c r="AB168" s="8" t="str">
        <f t="shared" si="42"/>
        <v/>
      </c>
      <c r="AC168" s="5" t="str">
        <f t="shared" si="43"/>
        <v>,		// 164 - 'n accent'</v>
      </c>
      <c r="AD168" s="4"/>
      <c r="AE168" s="31" t="str">
        <f t="shared" si="44"/>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0"/>
        <v>5</v>
      </c>
      <c r="Q169" s="4">
        <f t="shared" si="31"/>
        <v>0</v>
      </c>
      <c r="R169" s="4">
        <f t="shared" si="32"/>
        <v>5</v>
      </c>
      <c r="S169" s="8" t="str">
        <f t="shared" si="33"/>
        <v>, 125</v>
      </c>
      <c r="T169" s="8" t="str">
        <f t="shared" si="34"/>
        <v>, 13</v>
      </c>
      <c r="U169" s="8" t="str">
        <f t="shared" si="35"/>
        <v>, 25</v>
      </c>
      <c r="V169" s="8" t="str">
        <f t="shared" si="36"/>
        <v>, 49</v>
      </c>
      <c r="W169" s="8" t="str">
        <f t="shared" si="37"/>
        <v>, 125</v>
      </c>
      <c r="X169" s="8" t="str">
        <f t="shared" si="38"/>
        <v/>
      </c>
      <c r="Y169" s="8" t="str">
        <f t="shared" si="39"/>
        <v/>
      </c>
      <c r="Z169" s="8" t="str">
        <f t="shared" si="40"/>
        <v/>
      </c>
      <c r="AA169" s="8" t="str">
        <f t="shared" si="41"/>
        <v/>
      </c>
      <c r="AB169" s="8" t="str">
        <f t="shared" si="42"/>
        <v/>
      </c>
      <c r="AC169" s="5" t="str">
        <f t="shared" si="43"/>
        <v>,		// 165 - 'N accent'</v>
      </c>
      <c r="AD169" s="4"/>
      <c r="AE169" s="31" t="str">
        <f t="shared" si="44"/>
        <v>5, 125, 13, 25, 49, 125,		// 165 - 'N accent'</v>
      </c>
      <c r="AF169" s="4"/>
    </row>
    <row r="170" spans="1:32" x14ac:dyDescent="0.25">
      <c r="A170" s="16">
        <v>166</v>
      </c>
      <c r="B170" s="20"/>
      <c r="C170" s="38"/>
      <c r="D170" s="42">
        <v>0</v>
      </c>
      <c r="E170" s="11">
        <v>0</v>
      </c>
      <c r="F170" s="11">
        <v>0</v>
      </c>
      <c r="G170" s="11">
        <v>0</v>
      </c>
      <c r="H170" s="11">
        <v>0</v>
      </c>
      <c r="I170" s="11">
        <v>0</v>
      </c>
      <c r="J170" s="11">
        <v>0</v>
      </c>
      <c r="K170" s="11">
        <v>0</v>
      </c>
      <c r="L170" s="11">
        <v>0</v>
      </c>
      <c r="M170" s="11">
        <v>0</v>
      </c>
      <c r="N170" s="12">
        <v>0</v>
      </c>
      <c r="O170" s="4"/>
      <c r="P170" s="4">
        <f t="shared" si="30"/>
        <v>0</v>
      </c>
      <c r="Q170" s="4">
        <f t="shared" si="31"/>
        <v>0</v>
      </c>
      <c r="R170" s="4">
        <f t="shared" si="32"/>
        <v>0</v>
      </c>
      <c r="S170" s="8" t="str">
        <f t="shared" si="33"/>
        <v/>
      </c>
      <c r="T170" s="8" t="str">
        <f t="shared" si="34"/>
        <v/>
      </c>
      <c r="U170" s="8" t="str">
        <f t="shared" si="35"/>
        <v/>
      </c>
      <c r="V170" s="8" t="str">
        <f t="shared" si="36"/>
        <v/>
      </c>
      <c r="W170" s="8" t="str">
        <f t="shared" si="37"/>
        <v/>
      </c>
      <c r="X170" s="8" t="str">
        <f t="shared" si="38"/>
        <v/>
      </c>
      <c r="Y170" s="8" t="str">
        <f t="shared" si="39"/>
        <v/>
      </c>
      <c r="Z170" s="8" t="str">
        <f t="shared" si="40"/>
        <v/>
      </c>
      <c r="AA170" s="8" t="str">
        <f t="shared" si="41"/>
        <v/>
      </c>
      <c r="AB170" s="8" t="str">
        <f t="shared" si="42"/>
        <v/>
      </c>
      <c r="AC170" s="5" t="str">
        <f t="shared" si="43"/>
        <v>,		// 166</v>
      </c>
      <c r="AD170" s="4"/>
      <c r="AE170" s="31" t="str">
        <f t="shared" si="44"/>
        <v>0,		// 166</v>
      </c>
      <c r="AF170" s="4"/>
    </row>
    <row r="171" spans="1:32" x14ac:dyDescent="0.25">
      <c r="A171" s="16">
        <v>167</v>
      </c>
      <c r="B171" s="20"/>
      <c r="C171" s="38"/>
      <c r="D171" s="42">
        <v>0</v>
      </c>
      <c r="E171" s="11">
        <v>0</v>
      </c>
      <c r="F171" s="11">
        <v>0</v>
      </c>
      <c r="G171" s="11">
        <v>0</v>
      </c>
      <c r="H171" s="11">
        <v>0</v>
      </c>
      <c r="I171" s="11">
        <v>0</v>
      </c>
      <c r="J171" s="11">
        <v>0</v>
      </c>
      <c r="K171" s="11">
        <v>0</v>
      </c>
      <c r="L171" s="11">
        <v>0</v>
      </c>
      <c r="M171" s="11">
        <v>0</v>
      </c>
      <c r="N171" s="12">
        <v>0</v>
      </c>
      <c r="O171" s="4"/>
      <c r="P171" s="4">
        <f t="shared" si="30"/>
        <v>0</v>
      </c>
      <c r="Q171" s="4">
        <f t="shared" si="31"/>
        <v>0</v>
      </c>
      <c r="R171" s="4">
        <f t="shared" si="32"/>
        <v>0</v>
      </c>
      <c r="S171" s="8" t="str">
        <f t="shared" si="33"/>
        <v/>
      </c>
      <c r="T171" s="8" t="str">
        <f t="shared" si="34"/>
        <v/>
      </c>
      <c r="U171" s="8" t="str">
        <f t="shared" si="35"/>
        <v/>
      </c>
      <c r="V171" s="8" t="str">
        <f t="shared" si="36"/>
        <v/>
      </c>
      <c r="W171" s="8" t="str">
        <f t="shared" si="37"/>
        <v/>
      </c>
      <c r="X171" s="8" t="str">
        <f t="shared" si="38"/>
        <v/>
      </c>
      <c r="Y171" s="8" t="str">
        <f t="shared" si="39"/>
        <v/>
      </c>
      <c r="Z171" s="8" t="str">
        <f t="shared" si="40"/>
        <v/>
      </c>
      <c r="AA171" s="8" t="str">
        <f t="shared" si="41"/>
        <v/>
      </c>
      <c r="AB171" s="8" t="str">
        <f t="shared" si="42"/>
        <v/>
      </c>
      <c r="AC171" s="5" t="str">
        <f t="shared" si="43"/>
        <v>,		// 167</v>
      </c>
      <c r="AD171" s="4"/>
      <c r="AE171" s="31" t="str">
        <f t="shared" si="44"/>
        <v>0,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0"/>
        <v>5</v>
      </c>
      <c r="Q172" s="4">
        <f t="shared" si="31"/>
        <v>0</v>
      </c>
      <c r="R172" s="4">
        <f t="shared" si="32"/>
        <v>5</v>
      </c>
      <c r="S172" s="8" t="str">
        <f t="shared" si="33"/>
        <v>, 48</v>
      </c>
      <c r="T172" s="8" t="str">
        <f t="shared" si="34"/>
        <v>, 72</v>
      </c>
      <c r="U172" s="8" t="str">
        <f t="shared" si="35"/>
        <v>, 77</v>
      </c>
      <c r="V172" s="8" t="str">
        <f t="shared" si="36"/>
        <v>, 64</v>
      </c>
      <c r="W172" s="8" t="str">
        <f t="shared" si="37"/>
        <v>, 32</v>
      </c>
      <c r="X172" s="8" t="str">
        <f t="shared" si="38"/>
        <v/>
      </c>
      <c r="Y172" s="8" t="str">
        <f t="shared" si="39"/>
        <v/>
      </c>
      <c r="Z172" s="8" t="str">
        <f t="shared" si="40"/>
        <v/>
      </c>
      <c r="AA172" s="8" t="str">
        <f t="shared" si="41"/>
        <v/>
      </c>
      <c r="AB172" s="8" t="str">
        <f t="shared" si="42"/>
        <v/>
      </c>
      <c r="AC172" s="5" t="str">
        <f t="shared" si="43"/>
        <v>,		// 168 - 'Inverted ?'</v>
      </c>
      <c r="AD172" s="4"/>
      <c r="AE172" s="31" t="str">
        <f t="shared" si="44"/>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0"/>
        <v>5</v>
      </c>
      <c r="Q173" s="4">
        <f t="shared" si="31"/>
        <v>0</v>
      </c>
      <c r="R173" s="4">
        <f t="shared" si="32"/>
        <v>5</v>
      </c>
      <c r="S173" s="8" t="str">
        <f t="shared" si="33"/>
        <v>, 56</v>
      </c>
      <c r="T173" s="8" t="str">
        <f t="shared" si="34"/>
        <v>, 8</v>
      </c>
      <c r="U173" s="8" t="str">
        <f t="shared" si="35"/>
        <v>, 8</v>
      </c>
      <c r="V173" s="8" t="str">
        <f t="shared" si="36"/>
        <v>, 8</v>
      </c>
      <c r="W173" s="8" t="str">
        <f t="shared" si="37"/>
        <v>, 8</v>
      </c>
      <c r="X173" s="8" t="str">
        <f t="shared" si="38"/>
        <v/>
      </c>
      <c r="Y173" s="8" t="str">
        <f t="shared" si="39"/>
        <v/>
      </c>
      <c r="Z173" s="8" t="str">
        <f t="shared" si="40"/>
        <v/>
      </c>
      <c r="AA173" s="8" t="str">
        <f t="shared" si="41"/>
        <v/>
      </c>
      <c r="AB173" s="8" t="str">
        <f t="shared" si="42"/>
        <v/>
      </c>
      <c r="AC173" s="5" t="str">
        <f t="shared" si="43"/>
        <v>,		// 169</v>
      </c>
      <c r="AD173" s="4"/>
      <c r="AE173" s="31" t="str">
        <f t="shared" si="44"/>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0"/>
        <v>5</v>
      </c>
      <c r="Q174" s="4">
        <f t="shared" si="31"/>
        <v>0</v>
      </c>
      <c r="R174" s="4">
        <f t="shared" si="32"/>
        <v>5</v>
      </c>
      <c r="S174" s="8" t="str">
        <f t="shared" si="33"/>
        <v>, 8</v>
      </c>
      <c r="T174" s="8" t="str">
        <f t="shared" si="34"/>
        <v>, 8</v>
      </c>
      <c r="U174" s="8" t="str">
        <f t="shared" si="35"/>
        <v>, 8</v>
      </c>
      <c r="V174" s="8" t="str">
        <f t="shared" si="36"/>
        <v>, 8</v>
      </c>
      <c r="W174" s="8" t="str">
        <f t="shared" si="37"/>
        <v>, 56</v>
      </c>
      <c r="X174" s="8" t="str">
        <f t="shared" si="38"/>
        <v/>
      </c>
      <c r="Y174" s="8" t="str">
        <f t="shared" si="39"/>
        <v/>
      </c>
      <c r="Z174" s="8" t="str">
        <f t="shared" si="40"/>
        <v/>
      </c>
      <c r="AA174" s="8" t="str">
        <f t="shared" si="41"/>
        <v/>
      </c>
      <c r="AB174" s="8" t="str">
        <f t="shared" si="42"/>
        <v/>
      </c>
      <c r="AC174" s="5" t="str">
        <f t="shared" si="43"/>
        <v>,		// 170</v>
      </c>
      <c r="AD174" s="4"/>
      <c r="AE174" s="31" t="str">
        <f t="shared" si="44"/>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0"/>
        <v>5</v>
      </c>
      <c r="Q175" s="4">
        <f t="shared" si="31"/>
        <v>0</v>
      </c>
      <c r="R175" s="4">
        <f t="shared" si="32"/>
        <v>5</v>
      </c>
      <c r="S175" s="8" t="str">
        <f t="shared" si="33"/>
        <v>, 47</v>
      </c>
      <c r="T175" s="8" t="str">
        <f t="shared" si="34"/>
        <v>, 16</v>
      </c>
      <c r="U175" s="8" t="str">
        <f t="shared" si="35"/>
        <v>, 200</v>
      </c>
      <c r="V175" s="8" t="str">
        <f t="shared" si="36"/>
        <v>, 172</v>
      </c>
      <c r="W175" s="8" t="str">
        <f t="shared" si="37"/>
        <v>, 186</v>
      </c>
      <c r="X175" s="8" t="str">
        <f t="shared" si="38"/>
        <v/>
      </c>
      <c r="Y175" s="8" t="str">
        <f t="shared" si="39"/>
        <v/>
      </c>
      <c r="Z175" s="8" t="str">
        <f t="shared" si="40"/>
        <v/>
      </c>
      <c r="AA175" s="8" t="str">
        <f t="shared" si="41"/>
        <v/>
      </c>
      <c r="AB175" s="8" t="str">
        <f t="shared" si="42"/>
        <v/>
      </c>
      <c r="AC175" s="5" t="str">
        <f t="shared" si="43"/>
        <v>,		// 171 - '1/2'</v>
      </c>
      <c r="AD175" s="4"/>
      <c r="AE175" s="31" t="str">
        <f t="shared" si="44"/>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0"/>
        <v>5</v>
      </c>
      <c r="Q176" s="4">
        <f t="shared" si="31"/>
        <v>0</v>
      </c>
      <c r="R176" s="4">
        <f t="shared" si="32"/>
        <v>5</v>
      </c>
      <c r="S176" s="8" t="str">
        <f t="shared" si="33"/>
        <v>, 47</v>
      </c>
      <c r="T176" s="8" t="str">
        <f t="shared" si="34"/>
        <v>, 16</v>
      </c>
      <c r="U176" s="8" t="str">
        <f t="shared" si="35"/>
        <v>, 40</v>
      </c>
      <c r="V176" s="8" t="str">
        <f t="shared" si="36"/>
        <v>, 52</v>
      </c>
      <c r="W176" s="8" t="str">
        <f t="shared" si="37"/>
        <v>, 250</v>
      </c>
      <c r="X176" s="8" t="str">
        <f t="shared" si="38"/>
        <v/>
      </c>
      <c r="Y176" s="8" t="str">
        <f t="shared" si="39"/>
        <v/>
      </c>
      <c r="Z176" s="8" t="str">
        <f t="shared" si="40"/>
        <v/>
      </c>
      <c r="AA176" s="8" t="str">
        <f t="shared" si="41"/>
        <v/>
      </c>
      <c r="AB176" s="8" t="str">
        <f t="shared" si="42"/>
        <v/>
      </c>
      <c r="AC176" s="5" t="str">
        <f t="shared" si="43"/>
        <v>,		// 172 - '1/4'</v>
      </c>
      <c r="AD176" s="4"/>
      <c r="AE176" s="31" t="str">
        <f t="shared" si="44"/>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0"/>
        <v>1</v>
      </c>
      <c r="Q177" s="4">
        <f t="shared" si="31"/>
        <v>0</v>
      </c>
      <c r="R177" s="4">
        <f t="shared" si="32"/>
        <v>1</v>
      </c>
      <c r="S177" s="8" t="str">
        <f t="shared" si="33"/>
        <v>, 123</v>
      </c>
      <c r="T177" s="8" t="str">
        <f t="shared" si="34"/>
        <v/>
      </c>
      <c r="U177" s="8" t="str">
        <f t="shared" si="35"/>
        <v/>
      </c>
      <c r="V177" s="8" t="str">
        <f t="shared" si="36"/>
        <v/>
      </c>
      <c r="W177" s="8" t="str">
        <f t="shared" si="37"/>
        <v/>
      </c>
      <c r="X177" s="8" t="str">
        <f t="shared" si="38"/>
        <v/>
      </c>
      <c r="Y177" s="8" t="str">
        <f t="shared" si="39"/>
        <v/>
      </c>
      <c r="Z177" s="8" t="str">
        <f t="shared" si="40"/>
        <v/>
      </c>
      <c r="AA177" s="8" t="str">
        <f t="shared" si="41"/>
        <v/>
      </c>
      <c r="AB177" s="8" t="str">
        <f t="shared" si="42"/>
        <v/>
      </c>
      <c r="AC177" s="5" t="str">
        <f t="shared" si="43"/>
        <v>,		// 173 - '| split'</v>
      </c>
      <c r="AD177" s="4"/>
      <c r="AE177" s="31" t="str">
        <f t="shared" si="44"/>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0"/>
        <v>5</v>
      </c>
      <c r="Q178" s="4">
        <f t="shared" si="31"/>
        <v>0</v>
      </c>
      <c r="R178" s="4">
        <f t="shared" si="32"/>
        <v>5</v>
      </c>
      <c r="S178" s="8" t="str">
        <f t="shared" si="33"/>
        <v>, 8</v>
      </c>
      <c r="T178" s="8" t="str">
        <f t="shared" si="34"/>
        <v>, 20</v>
      </c>
      <c r="U178" s="8" t="str">
        <f t="shared" si="35"/>
        <v>, 42</v>
      </c>
      <c r="V178" s="8" t="str">
        <f t="shared" si="36"/>
        <v>, 20</v>
      </c>
      <c r="W178" s="8" t="str">
        <f t="shared" si="37"/>
        <v>, 34</v>
      </c>
      <c r="X178" s="8" t="str">
        <f t="shared" si="38"/>
        <v/>
      </c>
      <c r="Y178" s="8" t="str">
        <f t="shared" si="39"/>
        <v/>
      </c>
      <c r="Z178" s="8" t="str">
        <f t="shared" si="40"/>
        <v/>
      </c>
      <c r="AA178" s="8" t="str">
        <f t="shared" si="41"/>
        <v/>
      </c>
      <c r="AB178" s="8" t="str">
        <f t="shared" si="42"/>
        <v/>
      </c>
      <c r="AC178" s="5" t="str">
        <f t="shared" si="43"/>
        <v>,		// 174 - '&lt;&lt;'</v>
      </c>
      <c r="AD178" s="4"/>
      <c r="AE178" s="31" t="str">
        <f t="shared" si="44"/>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0"/>
        <v>5</v>
      </c>
      <c r="Q179" s="4">
        <f t="shared" si="31"/>
        <v>0</v>
      </c>
      <c r="R179" s="4">
        <f t="shared" si="32"/>
        <v>5</v>
      </c>
      <c r="S179" s="8" t="str">
        <f t="shared" si="33"/>
        <v>, 34</v>
      </c>
      <c r="T179" s="8" t="str">
        <f t="shared" si="34"/>
        <v>, 20</v>
      </c>
      <c r="U179" s="8" t="str">
        <f t="shared" si="35"/>
        <v>, 42</v>
      </c>
      <c r="V179" s="8" t="str">
        <f t="shared" si="36"/>
        <v>, 20</v>
      </c>
      <c r="W179" s="8" t="str">
        <f t="shared" si="37"/>
        <v>, 8</v>
      </c>
      <c r="X179" s="8" t="str">
        <f t="shared" si="38"/>
        <v/>
      </c>
      <c r="Y179" s="8" t="str">
        <f t="shared" si="39"/>
        <v/>
      </c>
      <c r="Z179" s="8" t="str">
        <f t="shared" si="40"/>
        <v/>
      </c>
      <c r="AA179" s="8" t="str">
        <f t="shared" si="41"/>
        <v/>
      </c>
      <c r="AB179" s="8" t="str">
        <f t="shared" si="42"/>
        <v/>
      </c>
      <c r="AC179" s="5" t="str">
        <f t="shared" si="43"/>
        <v>,		// 175 - '&gt;&gt;'</v>
      </c>
      <c r="AD179" s="4"/>
      <c r="AE179" s="31" t="str">
        <f t="shared" si="44"/>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0"/>
        <v>5</v>
      </c>
      <c r="Q180" s="4">
        <f t="shared" si="31"/>
        <v>0</v>
      </c>
      <c r="R180" s="4">
        <f t="shared" si="32"/>
        <v>5</v>
      </c>
      <c r="S180" s="8" t="str">
        <f t="shared" si="33"/>
        <v>, 170</v>
      </c>
      <c r="T180" s="8" t="str">
        <f t="shared" si="34"/>
        <v>, 0</v>
      </c>
      <c r="U180" s="8" t="str">
        <f t="shared" si="35"/>
        <v>, 85</v>
      </c>
      <c r="V180" s="8" t="str">
        <f t="shared" si="36"/>
        <v>, 0</v>
      </c>
      <c r="W180" s="8" t="str">
        <f t="shared" si="37"/>
        <v>, 170</v>
      </c>
      <c r="X180" s="8" t="str">
        <f t="shared" si="38"/>
        <v/>
      </c>
      <c r="Y180" s="8" t="str">
        <f t="shared" si="39"/>
        <v/>
      </c>
      <c r="Z180" s="8" t="str">
        <f t="shared" si="40"/>
        <v/>
      </c>
      <c r="AA180" s="8" t="str">
        <f t="shared" si="41"/>
        <v/>
      </c>
      <c r="AB180" s="8" t="str">
        <f t="shared" si="42"/>
        <v/>
      </c>
      <c r="AC180" s="5" t="str">
        <f t="shared" si="43"/>
        <v>,		// 176 - '30% shading'</v>
      </c>
      <c r="AD180" s="4"/>
      <c r="AE180" s="31" t="str">
        <f t="shared" si="44"/>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0"/>
        <v>5</v>
      </c>
      <c r="Q181" s="4">
        <f t="shared" si="31"/>
        <v>0</v>
      </c>
      <c r="R181" s="4">
        <f t="shared" si="32"/>
        <v>5</v>
      </c>
      <c r="S181" s="8" t="str">
        <f t="shared" si="33"/>
        <v>, 170</v>
      </c>
      <c r="T181" s="8" t="str">
        <f t="shared" si="34"/>
        <v>, 85</v>
      </c>
      <c r="U181" s="8" t="str">
        <f t="shared" si="35"/>
        <v>, 170</v>
      </c>
      <c r="V181" s="8" t="str">
        <f t="shared" si="36"/>
        <v>, 85</v>
      </c>
      <c r="W181" s="8" t="str">
        <f t="shared" si="37"/>
        <v>, 170</v>
      </c>
      <c r="X181" s="8" t="str">
        <f t="shared" si="38"/>
        <v/>
      </c>
      <c r="Y181" s="8" t="str">
        <f t="shared" si="39"/>
        <v/>
      </c>
      <c r="Z181" s="8" t="str">
        <f t="shared" si="40"/>
        <v/>
      </c>
      <c r="AA181" s="8" t="str">
        <f t="shared" si="41"/>
        <v/>
      </c>
      <c r="AB181" s="8" t="str">
        <f t="shared" si="42"/>
        <v/>
      </c>
      <c r="AC181" s="5" t="str">
        <f t="shared" si="43"/>
        <v>,		// 177 - '50% shading'</v>
      </c>
      <c r="AD181" s="4"/>
      <c r="AE181" s="31" t="str">
        <f t="shared" si="44"/>
        <v>5, 170, 85, 170, 85, 170,		// 177 - '50% shading'</v>
      </c>
      <c r="AF181" s="4"/>
    </row>
    <row r="182" spans="1:32" x14ac:dyDescent="0.25">
      <c r="A182" s="16">
        <v>178</v>
      </c>
      <c r="B182" s="20"/>
      <c r="C182" s="38"/>
      <c r="D182" s="42">
        <v>0</v>
      </c>
      <c r="E182" s="11">
        <v>0</v>
      </c>
      <c r="F182" s="11">
        <v>0</v>
      </c>
      <c r="G182" s="11">
        <v>0</v>
      </c>
      <c r="H182" s="11">
        <v>0</v>
      </c>
      <c r="I182" s="11">
        <v>0</v>
      </c>
      <c r="J182" s="11">
        <v>0</v>
      </c>
      <c r="K182" s="11">
        <v>0</v>
      </c>
      <c r="L182" s="11">
        <v>0</v>
      </c>
      <c r="M182" s="11">
        <v>0</v>
      </c>
      <c r="N182" s="12">
        <v>0</v>
      </c>
      <c r="O182" s="4"/>
      <c r="P182" s="4">
        <f t="shared" si="30"/>
        <v>0</v>
      </c>
      <c r="Q182" s="4">
        <f t="shared" si="31"/>
        <v>0</v>
      </c>
      <c r="R182" s="4">
        <f t="shared" si="32"/>
        <v>0</v>
      </c>
      <c r="S182" s="8" t="str">
        <f t="shared" si="33"/>
        <v/>
      </c>
      <c r="T182" s="8" t="str">
        <f t="shared" si="34"/>
        <v/>
      </c>
      <c r="U182" s="8" t="str">
        <f t="shared" si="35"/>
        <v/>
      </c>
      <c r="V182" s="8" t="str">
        <f t="shared" si="36"/>
        <v/>
      </c>
      <c r="W182" s="8" t="str">
        <f t="shared" si="37"/>
        <v/>
      </c>
      <c r="X182" s="8" t="str">
        <f t="shared" si="38"/>
        <v/>
      </c>
      <c r="Y182" s="8" t="str">
        <f t="shared" si="39"/>
        <v/>
      </c>
      <c r="Z182" s="8" t="str">
        <f t="shared" si="40"/>
        <v/>
      </c>
      <c r="AA182" s="8" t="str">
        <f t="shared" si="41"/>
        <v/>
      </c>
      <c r="AB182" s="8" t="str">
        <f t="shared" si="42"/>
        <v/>
      </c>
      <c r="AC182" s="5" t="str">
        <f t="shared" si="43"/>
        <v>,		// 178</v>
      </c>
      <c r="AD182" s="4"/>
      <c r="AE182" s="31" t="str">
        <f t="shared" si="44"/>
        <v>0,		// 178</v>
      </c>
      <c r="AF182" s="4"/>
    </row>
    <row r="183" spans="1:32" x14ac:dyDescent="0.25">
      <c r="A183" s="16">
        <v>179</v>
      </c>
      <c r="B183" s="20"/>
      <c r="C183" s="38"/>
      <c r="D183" s="42">
        <v>0</v>
      </c>
      <c r="E183" s="11">
        <v>0</v>
      </c>
      <c r="F183" s="11">
        <v>0</v>
      </c>
      <c r="G183" s="11">
        <v>0</v>
      </c>
      <c r="H183" s="11">
        <v>0</v>
      </c>
      <c r="I183" s="11">
        <v>0</v>
      </c>
      <c r="J183" s="11">
        <v>0</v>
      </c>
      <c r="K183" s="11">
        <v>0</v>
      </c>
      <c r="L183" s="11">
        <v>0</v>
      </c>
      <c r="M183" s="11">
        <v>0</v>
      </c>
      <c r="N183" s="12">
        <v>0</v>
      </c>
      <c r="O183" s="4"/>
      <c r="P183" s="4">
        <f t="shared" si="30"/>
        <v>0</v>
      </c>
      <c r="Q183" s="4">
        <f t="shared" si="31"/>
        <v>0</v>
      </c>
      <c r="R183" s="4">
        <f t="shared" si="32"/>
        <v>0</v>
      </c>
      <c r="S183" s="8" t="str">
        <f t="shared" si="33"/>
        <v/>
      </c>
      <c r="T183" s="8" t="str">
        <f t="shared" si="34"/>
        <v/>
      </c>
      <c r="U183" s="8" t="str">
        <f t="shared" si="35"/>
        <v/>
      </c>
      <c r="V183" s="8" t="str">
        <f t="shared" si="36"/>
        <v/>
      </c>
      <c r="W183" s="8" t="str">
        <f t="shared" si="37"/>
        <v/>
      </c>
      <c r="X183" s="8" t="str">
        <f t="shared" si="38"/>
        <v/>
      </c>
      <c r="Y183" s="8" t="str">
        <f t="shared" si="39"/>
        <v/>
      </c>
      <c r="Z183" s="8" t="str">
        <f t="shared" si="40"/>
        <v/>
      </c>
      <c r="AA183" s="8" t="str">
        <f t="shared" si="41"/>
        <v/>
      </c>
      <c r="AB183" s="8" t="str">
        <f t="shared" si="42"/>
        <v/>
      </c>
      <c r="AC183" s="5" t="str">
        <f t="shared" si="43"/>
        <v>,		// 179</v>
      </c>
      <c r="AD183" s="4"/>
      <c r="AE183" s="31" t="str">
        <f t="shared" si="44"/>
        <v>0,		// 179</v>
      </c>
      <c r="AF183" s="4"/>
    </row>
    <row r="184" spans="1:32" x14ac:dyDescent="0.25">
      <c r="A184" s="16">
        <v>180</v>
      </c>
      <c r="B184" s="20"/>
      <c r="C184" s="38"/>
      <c r="D184" s="42">
        <v>0</v>
      </c>
      <c r="E184" s="11">
        <v>0</v>
      </c>
      <c r="F184" s="11">
        <v>0</v>
      </c>
      <c r="G184" s="11">
        <v>0</v>
      </c>
      <c r="H184" s="11">
        <v>0</v>
      </c>
      <c r="I184" s="11">
        <v>0</v>
      </c>
      <c r="J184" s="11">
        <v>0</v>
      </c>
      <c r="K184" s="11">
        <v>0</v>
      </c>
      <c r="L184" s="11">
        <v>0</v>
      </c>
      <c r="M184" s="11">
        <v>0</v>
      </c>
      <c r="N184" s="12">
        <v>0</v>
      </c>
      <c r="O184" s="4"/>
      <c r="P184" s="4">
        <f t="shared" si="30"/>
        <v>0</v>
      </c>
      <c r="Q184" s="4">
        <f t="shared" si="31"/>
        <v>0</v>
      </c>
      <c r="R184" s="4">
        <f t="shared" si="32"/>
        <v>0</v>
      </c>
      <c r="S184" s="8" t="str">
        <f t="shared" si="33"/>
        <v/>
      </c>
      <c r="T184" s="8" t="str">
        <f t="shared" si="34"/>
        <v/>
      </c>
      <c r="U184" s="8" t="str">
        <f t="shared" si="35"/>
        <v/>
      </c>
      <c r="V184" s="8" t="str">
        <f t="shared" si="36"/>
        <v/>
      </c>
      <c r="W184" s="8" t="str">
        <f t="shared" si="37"/>
        <v/>
      </c>
      <c r="X184" s="8" t="str">
        <f t="shared" si="38"/>
        <v/>
      </c>
      <c r="Y184" s="8" t="str">
        <f t="shared" si="39"/>
        <v/>
      </c>
      <c r="Z184" s="8" t="str">
        <f t="shared" si="40"/>
        <v/>
      </c>
      <c r="AA184" s="8" t="str">
        <f t="shared" si="41"/>
        <v/>
      </c>
      <c r="AB184" s="8" t="str">
        <f t="shared" si="42"/>
        <v/>
      </c>
      <c r="AC184" s="5" t="str">
        <f t="shared" si="43"/>
        <v>,		// 180</v>
      </c>
      <c r="AD184" s="4"/>
      <c r="AE184" s="31" t="str">
        <f t="shared" si="44"/>
        <v>0,		// 180</v>
      </c>
      <c r="AF184" s="4"/>
    </row>
    <row r="185" spans="1:32" x14ac:dyDescent="0.25">
      <c r="A185" s="16">
        <v>181</v>
      </c>
      <c r="B185" s="20"/>
      <c r="C185" s="38"/>
      <c r="D185" s="42">
        <v>0</v>
      </c>
      <c r="E185" s="11">
        <v>0</v>
      </c>
      <c r="F185" s="11">
        <v>0</v>
      </c>
      <c r="G185" s="11">
        <v>0</v>
      </c>
      <c r="H185" s="11">
        <v>0</v>
      </c>
      <c r="I185" s="11">
        <v>0</v>
      </c>
      <c r="J185" s="11">
        <v>0</v>
      </c>
      <c r="K185" s="11">
        <v>0</v>
      </c>
      <c r="L185" s="11">
        <v>0</v>
      </c>
      <c r="M185" s="11">
        <v>0</v>
      </c>
      <c r="N185" s="12">
        <v>0</v>
      </c>
      <c r="O185" s="4"/>
      <c r="P185" s="4">
        <f t="shared" si="30"/>
        <v>0</v>
      </c>
      <c r="Q185" s="4">
        <f t="shared" si="31"/>
        <v>0</v>
      </c>
      <c r="R185" s="4">
        <f t="shared" si="32"/>
        <v>0</v>
      </c>
      <c r="S185" s="8" t="str">
        <f t="shared" si="33"/>
        <v/>
      </c>
      <c r="T185" s="8" t="str">
        <f t="shared" si="34"/>
        <v/>
      </c>
      <c r="U185" s="8" t="str">
        <f t="shared" si="35"/>
        <v/>
      </c>
      <c r="V185" s="8" t="str">
        <f t="shared" si="36"/>
        <v/>
      </c>
      <c r="W185" s="8" t="str">
        <f t="shared" si="37"/>
        <v/>
      </c>
      <c r="X185" s="8" t="str">
        <f t="shared" si="38"/>
        <v/>
      </c>
      <c r="Y185" s="8" t="str">
        <f t="shared" si="39"/>
        <v/>
      </c>
      <c r="Z185" s="8" t="str">
        <f t="shared" si="40"/>
        <v/>
      </c>
      <c r="AA185" s="8" t="str">
        <f t="shared" si="41"/>
        <v/>
      </c>
      <c r="AB185" s="8" t="str">
        <f t="shared" si="42"/>
        <v/>
      </c>
      <c r="AC185" s="5" t="str">
        <f t="shared" si="43"/>
        <v>,		// 181</v>
      </c>
      <c r="AD185" s="4"/>
      <c r="AE185" s="31" t="str">
        <f t="shared" si="44"/>
        <v>0,		// 181</v>
      </c>
      <c r="AF185" s="4"/>
    </row>
    <row r="186" spans="1:32" x14ac:dyDescent="0.25">
      <c r="A186" s="16">
        <v>182</v>
      </c>
      <c r="B186" s="20"/>
      <c r="C186" s="38"/>
      <c r="D186" s="42">
        <v>0</v>
      </c>
      <c r="E186" s="11">
        <v>0</v>
      </c>
      <c r="F186" s="11">
        <v>0</v>
      </c>
      <c r="G186" s="11">
        <v>0</v>
      </c>
      <c r="H186" s="11">
        <v>0</v>
      </c>
      <c r="I186" s="11">
        <v>0</v>
      </c>
      <c r="J186" s="11">
        <v>0</v>
      </c>
      <c r="K186" s="11">
        <v>0</v>
      </c>
      <c r="L186" s="11">
        <v>0</v>
      </c>
      <c r="M186" s="11">
        <v>0</v>
      </c>
      <c r="N186" s="12">
        <v>0</v>
      </c>
      <c r="O186" s="4"/>
      <c r="P186" s="4">
        <f t="shared" si="30"/>
        <v>0</v>
      </c>
      <c r="Q186" s="4">
        <f t="shared" si="31"/>
        <v>0</v>
      </c>
      <c r="R186" s="4">
        <f t="shared" si="32"/>
        <v>0</v>
      </c>
      <c r="S186" s="8" t="str">
        <f t="shared" si="33"/>
        <v/>
      </c>
      <c r="T186" s="8" t="str">
        <f t="shared" si="34"/>
        <v/>
      </c>
      <c r="U186" s="8" t="str">
        <f t="shared" si="35"/>
        <v/>
      </c>
      <c r="V186" s="8" t="str">
        <f t="shared" si="36"/>
        <v/>
      </c>
      <c r="W186" s="8" t="str">
        <f t="shared" si="37"/>
        <v/>
      </c>
      <c r="X186" s="8" t="str">
        <f t="shared" si="38"/>
        <v/>
      </c>
      <c r="Y186" s="8" t="str">
        <f t="shared" si="39"/>
        <v/>
      </c>
      <c r="Z186" s="8" t="str">
        <f t="shared" si="40"/>
        <v/>
      </c>
      <c r="AA186" s="8" t="str">
        <f t="shared" si="41"/>
        <v/>
      </c>
      <c r="AB186" s="8" t="str">
        <f t="shared" si="42"/>
        <v/>
      </c>
      <c r="AC186" s="5" t="str">
        <f t="shared" si="43"/>
        <v>,		// 182</v>
      </c>
      <c r="AD186" s="4"/>
      <c r="AE186" s="31" t="str">
        <f t="shared" si="44"/>
        <v>0,		// 182</v>
      </c>
      <c r="AF186" s="4"/>
    </row>
    <row r="187" spans="1:32" x14ac:dyDescent="0.25">
      <c r="A187" s="16">
        <v>183</v>
      </c>
      <c r="B187" s="20"/>
      <c r="C187" s="38"/>
      <c r="D187" s="42">
        <v>0</v>
      </c>
      <c r="E187" s="11">
        <v>0</v>
      </c>
      <c r="F187" s="11">
        <v>0</v>
      </c>
      <c r="G187" s="11">
        <v>0</v>
      </c>
      <c r="H187" s="11">
        <v>0</v>
      </c>
      <c r="I187" s="11">
        <v>0</v>
      </c>
      <c r="J187" s="11">
        <v>0</v>
      </c>
      <c r="K187" s="11">
        <v>0</v>
      </c>
      <c r="L187" s="11">
        <v>0</v>
      </c>
      <c r="M187" s="11">
        <v>0</v>
      </c>
      <c r="N187" s="12">
        <v>0</v>
      </c>
      <c r="O187" s="4"/>
      <c r="P187" s="4">
        <f t="shared" si="30"/>
        <v>0</v>
      </c>
      <c r="Q187" s="4">
        <f t="shared" si="31"/>
        <v>0</v>
      </c>
      <c r="R187" s="4">
        <f t="shared" si="32"/>
        <v>0</v>
      </c>
      <c r="S187" s="8" t="str">
        <f t="shared" si="33"/>
        <v/>
      </c>
      <c r="T187" s="8" t="str">
        <f t="shared" si="34"/>
        <v/>
      </c>
      <c r="U187" s="8" t="str">
        <f t="shared" si="35"/>
        <v/>
      </c>
      <c r="V187" s="8" t="str">
        <f t="shared" si="36"/>
        <v/>
      </c>
      <c r="W187" s="8" t="str">
        <f t="shared" si="37"/>
        <v/>
      </c>
      <c r="X187" s="8" t="str">
        <f t="shared" si="38"/>
        <v/>
      </c>
      <c r="Y187" s="8" t="str">
        <f t="shared" si="39"/>
        <v/>
      </c>
      <c r="Z187" s="8" t="str">
        <f t="shared" si="40"/>
        <v/>
      </c>
      <c r="AA187" s="8" t="str">
        <f t="shared" si="41"/>
        <v/>
      </c>
      <c r="AB187" s="8" t="str">
        <f t="shared" si="42"/>
        <v/>
      </c>
      <c r="AC187" s="5" t="str">
        <f t="shared" si="43"/>
        <v>,		// 183</v>
      </c>
      <c r="AD187" s="4"/>
      <c r="AE187" s="31" t="str">
        <f t="shared" si="44"/>
        <v>0,		// 183</v>
      </c>
      <c r="AF187" s="4"/>
    </row>
    <row r="188" spans="1:32" x14ac:dyDescent="0.25">
      <c r="A188" s="16">
        <v>184</v>
      </c>
      <c r="B188" s="20"/>
      <c r="C188" s="38"/>
      <c r="D188" s="42">
        <v>0</v>
      </c>
      <c r="E188" s="11">
        <v>0</v>
      </c>
      <c r="F188" s="11">
        <v>0</v>
      </c>
      <c r="G188" s="11">
        <v>0</v>
      </c>
      <c r="H188" s="11">
        <v>0</v>
      </c>
      <c r="I188" s="11">
        <v>0</v>
      </c>
      <c r="J188" s="11">
        <v>0</v>
      </c>
      <c r="K188" s="11">
        <v>0</v>
      </c>
      <c r="L188" s="11">
        <v>0</v>
      </c>
      <c r="M188" s="11">
        <v>0</v>
      </c>
      <c r="N188" s="12">
        <v>0</v>
      </c>
      <c r="O188" s="4"/>
      <c r="P188" s="4">
        <f t="shared" si="30"/>
        <v>0</v>
      </c>
      <c r="Q188" s="4">
        <f t="shared" si="31"/>
        <v>0</v>
      </c>
      <c r="R188" s="4">
        <f t="shared" si="32"/>
        <v>0</v>
      </c>
      <c r="S188" s="8" t="str">
        <f t="shared" si="33"/>
        <v/>
      </c>
      <c r="T188" s="8" t="str">
        <f t="shared" si="34"/>
        <v/>
      </c>
      <c r="U188" s="8" t="str">
        <f t="shared" si="35"/>
        <v/>
      </c>
      <c r="V188" s="8" t="str">
        <f t="shared" si="36"/>
        <v/>
      </c>
      <c r="W188" s="8" t="str">
        <f t="shared" si="37"/>
        <v/>
      </c>
      <c r="X188" s="8" t="str">
        <f t="shared" si="38"/>
        <v/>
      </c>
      <c r="Y188" s="8" t="str">
        <f t="shared" si="39"/>
        <v/>
      </c>
      <c r="Z188" s="8" t="str">
        <f t="shared" si="40"/>
        <v/>
      </c>
      <c r="AA188" s="8" t="str">
        <f t="shared" si="41"/>
        <v/>
      </c>
      <c r="AB188" s="8" t="str">
        <f t="shared" si="42"/>
        <v/>
      </c>
      <c r="AC188" s="5" t="str">
        <f t="shared" si="43"/>
        <v>,		// 184</v>
      </c>
      <c r="AD188" s="4"/>
      <c r="AE188" s="31" t="str">
        <f t="shared" si="44"/>
        <v>0,		// 184</v>
      </c>
      <c r="AF188" s="4"/>
    </row>
    <row r="189" spans="1:32" x14ac:dyDescent="0.25">
      <c r="A189" s="16">
        <v>185</v>
      </c>
      <c r="B189" s="20"/>
      <c r="C189" s="38"/>
      <c r="D189" s="42">
        <v>0</v>
      </c>
      <c r="E189" s="11">
        <v>0</v>
      </c>
      <c r="F189" s="11">
        <v>0</v>
      </c>
      <c r="G189" s="11">
        <v>0</v>
      </c>
      <c r="H189" s="11">
        <v>0</v>
      </c>
      <c r="I189" s="11">
        <v>0</v>
      </c>
      <c r="J189" s="11">
        <v>0</v>
      </c>
      <c r="K189" s="11">
        <v>0</v>
      </c>
      <c r="L189" s="11">
        <v>0</v>
      </c>
      <c r="M189" s="11">
        <v>0</v>
      </c>
      <c r="N189" s="12">
        <v>0</v>
      </c>
      <c r="O189" s="4"/>
      <c r="P189" s="4">
        <f t="shared" si="30"/>
        <v>0</v>
      </c>
      <c r="Q189" s="4">
        <f t="shared" si="31"/>
        <v>0</v>
      </c>
      <c r="R189" s="4">
        <f t="shared" si="32"/>
        <v>0</v>
      </c>
      <c r="S189" s="8" t="str">
        <f t="shared" si="33"/>
        <v/>
      </c>
      <c r="T189" s="8" t="str">
        <f t="shared" si="34"/>
        <v/>
      </c>
      <c r="U189" s="8" t="str">
        <f t="shared" si="35"/>
        <v/>
      </c>
      <c r="V189" s="8" t="str">
        <f t="shared" si="36"/>
        <v/>
      </c>
      <c r="W189" s="8" t="str">
        <f t="shared" si="37"/>
        <v/>
      </c>
      <c r="X189" s="8" t="str">
        <f t="shared" si="38"/>
        <v/>
      </c>
      <c r="Y189" s="8" t="str">
        <f t="shared" si="39"/>
        <v/>
      </c>
      <c r="Z189" s="8" t="str">
        <f t="shared" si="40"/>
        <v/>
      </c>
      <c r="AA189" s="8" t="str">
        <f t="shared" si="41"/>
        <v/>
      </c>
      <c r="AB189" s="8" t="str">
        <f t="shared" si="42"/>
        <v/>
      </c>
      <c r="AC189" s="5" t="str">
        <f t="shared" si="43"/>
        <v>,		// 185</v>
      </c>
      <c r="AD189" s="4"/>
      <c r="AE189" s="31" t="str">
        <f t="shared" si="44"/>
        <v>0,		// 185</v>
      </c>
      <c r="AF189" s="4"/>
    </row>
    <row r="190" spans="1:32" x14ac:dyDescent="0.25">
      <c r="A190" s="16">
        <v>186</v>
      </c>
      <c r="B190" s="20"/>
      <c r="C190" s="38"/>
      <c r="D190" s="42">
        <v>0</v>
      </c>
      <c r="E190" s="11">
        <v>0</v>
      </c>
      <c r="F190" s="11">
        <v>0</v>
      </c>
      <c r="G190" s="11">
        <v>0</v>
      </c>
      <c r="H190" s="11">
        <v>0</v>
      </c>
      <c r="I190" s="11">
        <v>0</v>
      </c>
      <c r="J190" s="11">
        <v>0</v>
      </c>
      <c r="K190" s="11">
        <v>0</v>
      </c>
      <c r="L190" s="11">
        <v>0</v>
      </c>
      <c r="M190" s="11">
        <v>0</v>
      </c>
      <c r="N190" s="12">
        <v>0</v>
      </c>
      <c r="O190" s="4"/>
      <c r="P190" s="4">
        <f t="shared" si="30"/>
        <v>0</v>
      </c>
      <c r="Q190" s="4">
        <f t="shared" si="31"/>
        <v>0</v>
      </c>
      <c r="R190" s="4">
        <f t="shared" si="32"/>
        <v>0</v>
      </c>
      <c r="S190" s="8" t="str">
        <f t="shared" si="33"/>
        <v/>
      </c>
      <c r="T190" s="8" t="str">
        <f t="shared" si="34"/>
        <v/>
      </c>
      <c r="U190" s="8" t="str">
        <f t="shared" si="35"/>
        <v/>
      </c>
      <c r="V190" s="8" t="str">
        <f t="shared" si="36"/>
        <v/>
      </c>
      <c r="W190" s="8" t="str">
        <f t="shared" si="37"/>
        <v/>
      </c>
      <c r="X190" s="8" t="str">
        <f t="shared" si="38"/>
        <v/>
      </c>
      <c r="Y190" s="8" t="str">
        <f t="shared" si="39"/>
        <v/>
      </c>
      <c r="Z190" s="8" t="str">
        <f t="shared" si="40"/>
        <v/>
      </c>
      <c r="AA190" s="8" t="str">
        <f t="shared" si="41"/>
        <v/>
      </c>
      <c r="AB190" s="8" t="str">
        <f t="shared" si="42"/>
        <v/>
      </c>
      <c r="AC190" s="5" t="str">
        <f t="shared" si="43"/>
        <v>,		// 186</v>
      </c>
      <c r="AD190" s="4"/>
      <c r="AE190" s="31" t="str">
        <f t="shared" si="44"/>
        <v>0,		// 186</v>
      </c>
      <c r="AF190" s="4"/>
    </row>
    <row r="191" spans="1:32" x14ac:dyDescent="0.25">
      <c r="A191" s="16">
        <v>187</v>
      </c>
      <c r="B191" s="20"/>
      <c r="C191" s="38"/>
      <c r="D191" s="42">
        <v>0</v>
      </c>
      <c r="E191" s="11">
        <v>0</v>
      </c>
      <c r="F191" s="11">
        <v>0</v>
      </c>
      <c r="G191" s="11">
        <v>0</v>
      </c>
      <c r="H191" s="11">
        <v>0</v>
      </c>
      <c r="I191" s="11">
        <v>0</v>
      </c>
      <c r="J191" s="11">
        <v>0</v>
      </c>
      <c r="K191" s="11">
        <v>0</v>
      </c>
      <c r="L191" s="11">
        <v>0</v>
      </c>
      <c r="M191" s="11">
        <v>0</v>
      </c>
      <c r="N191" s="12">
        <v>0</v>
      </c>
      <c r="O191" s="4"/>
      <c r="P191" s="4">
        <f t="shared" si="30"/>
        <v>0</v>
      </c>
      <c r="Q191" s="4">
        <f t="shared" si="31"/>
        <v>0</v>
      </c>
      <c r="R191" s="4">
        <f t="shared" si="32"/>
        <v>0</v>
      </c>
      <c r="S191" s="8" t="str">
        <f t="shared" si="33"/>
        <v/>
      </c>
      <c r="T191" s="8" t="str">
        <f t="shared" si="34"/>
        <v/>
      </c>
      <c r="U191" s="8" t="str">
        <f t="shared" si="35"/>
        <v/>
      </c>
      <c r="V191" s="8" t="str">
        <f t="shared" si="36"/>
        <v/>
      </c>
      <c r="W191" s="8" t="str">
        <f t="shared" si="37"/>
        <v/>
      </c>
      <c r="X191" s="8" t="str">
        <f t="shared" si="38"/>
        <v/>
      </c>
      <c r="Y191" s="8" t="str">
        <f t="shared" si="39"/>
        <v/>
      </c>
      <c r="Z191" s="8" t="str">
        <f t="shared" si="40"/>
        <v/>
      </c>
      <c r="AA191" s="8" t="str">
        <f t="shared" si="41"/>
        <v/>
      </c>
      <c r="AB191" s="8" t="str">
        <f t="shared" si="42"/>
        <v/>
      </c>
      <c r="AC191" s="5" t="str">
        <f t="shared" si="43"/>
        <v>,		// 187</v>
      </c>
      <c r="AD191" s="4"/>
      <c r="AE191" s="31" t="str">
        <f t="shared" si="44"/>
        <v>0,		// 187</v>
      </c>
      <c r="AF191" s="4"/>
    </row>
    <row r="192" spans="1:32" x14ac:dyDescent="0.25">
      <c r="A192" s="16">
        <v>188</v>
      </c>
      <c r="B192" s="20"/>
      <c r="C192" s="38"/>
      <c r="D192" s="42">
        <v>0</v>
      </c>
      <c r="E192" s="11">
        <v>0</v>
      </c>
      <c r="F192" s="11">
        <v>0</v>
      </c>
      <c r="G192" s="11">
        <v>0</v>
      </c>
      <c r="H192" s="11">
        <v>0</v>
      </c>
      <c r="I192" s="11">
        <v>0</v>
      </c>
      <c r="J192" s="11">
        <v>0</v>
      </c>
      <c r="K192" s="11">
        <v>0</v>
      </c>
      <c r="L192" s="11">
        <v>0</v>
      </c>
      <c r="M192" s="11">
        <v>0</v>
      </c>
      <c r="N192" s="12">
        <v>0</v>
      </c>
      <c r="O192" s="4"/>
      <c r="P192" s="4">
        <f t="shared" si="30"/>
        <v>0</v>
      </c>
      <c r="Q192" s="4">
        <f t="shared" si="31"/>
        <v>0</v>
      </c>
      <c r="R192" s="4">
        <f t="shared" si="32"/>
        <v>0</v>
      </c>
      <c r="S192" s="8" t="str">
        <f t="shared" si="33"/>
        <v/>
      </c>
      <c r="T192" s="8" t="str">
        <f t="shared" si="34"/>
        <v/>
      </c>
      <c r="U192" s="8" t="str">
        <f t="shared" si="35"/>
        <v/>
      </c>
      <c r="V192" s="8" t="str">
        <f t="shared" si="36"/>
        <v/>
      </c>
      <c r="W192" s="8" t="str">
        <f t="shared" si="37"/>
        <v/>
      </c>
      <c r="X192" s="8" t="str">
        <f t="shared" si="38"/>
        <v/>
      </c>
      <c r="Y192" s="8" t="str">
        <f t="shared" si="39"/>
        <v/>
      </c>
      <c r="Z192" s="8" t="str">
        <f t="shared" si="40"/>
        <v/>
      </c>
      <c r="AA192" s="8" t="str">
        <f t="shared" si="41"/>
        <v/>
      </c>
      <c r="AB192" s="8" t="str">
        <f t="shared" si="42"/>
        <v/>
      </c>
      <c r="AC192" s="5" t="str">
        <f t="shared" si="43"/>
        <v>,		// 188</v>
      </c>
      <c r="AD192" s="4"/>
      <c r="AE192" s="31" t="str">
        <f t="shared" si="44"/>
        <v>0,		// 188</v>
      </c>
      <c r="AF192" s="4"/>
    </row>
    <row r="193" spans="1:32" x14ac:dyDescent="0.25">
      <c r="A193" s="16">
        <v>189</v>
      </c>
      <c r="B193" s="20"/>
      <c r="C193" s="38"/>
      <c r="D193" s="42">
        <v>0</v>
      </c>
      <c r="E193" s="11">
        <v>0</v>
      </c>
      <c r="F193" s="11">
        <v>0</v>
      </c>
      <c r="G193" s="11">
        <v>0</v>
      </c>
      <c r="H193" s="11">
        <v>0</v>
      </c>
      <c r="I193" s="11">
        <v>0</v>
      </c>
      <c r="J193" s="11">
        <v>0</v>
      </c>
      <c r="K193" s="11">
        <v>0</v>
      </c>
      <c r="L193" s="11">
        <v>0</v>
      </c>
      <c r="M193" s="11">
        <v>0</v>
      </c>
      <c r="N193" s="12">
        <v>0</v>
      </c>
      <c r="O193" s="4"/>
      <c r="P193" s="4">
        <f t="shared" si="30"/>
        <v>0</v>
      </c>
      <c r="Q193" s="4">
        <f t="shared" si="31"/>
        <v>0</v>
      </c>
      <c r="R193" s="4">
        <f t="shared" si="32"/>
        <v>0</v>
      </c>
      <c r="S193" s="8" t="str">
        <f t="shared" si="33"/>
        <v/>
      </c>
      <c r="T193" s="8" t="str">
        <f t="shared" si="34"/>
        <v/>
      </c>
      <c r="U193" s="8" t="str">
        <f t="shared" si="35"/>
        <v/>
      </c>
      <c r="V193" s="8" t="str">
        <f t="shared" si="36"/>
        <v/>
      </c>
      <c r="W193" s="8" t="str">
        <f t="shared" si="37"/>
        <v/>
      </c>
      <c r="X193" s="8" t="str">
        <f t="shared" si="38"/>
        <v/>
      </c>
      <c r="Y193" s="8" t="str">
        <f t="shared" si="39"/>
        <v/>
      </c>
      <c r="Z193" s="8" t="str">
        <f t="shared" si="40"/>
        <v/>
      </c>
      <c r="AA193" s="8" t="str">
        <f t="shared" si="41"/>
        <v/>
      </c>
      <c r="AB193" s="8" t="str">
        <f t="shared" si="42"/>
        <v/>
      </c>
      <c r="AC193" s="5" t="str">
        <f t="shared" si="43"/>
        <v>,		// 189</v>
      </c>
      <c r="AD193" s="4"/>
      <c r="AE193" s="31" t="str">
        <f t="shared" si="44"/>
        <v>0,		// 189</v>
      </c>
      <c r="AF193" s="4"/>
    </row>
    <row r="194" spans="1:32" x14ac:dyDescent="0.25">
      <c r="A194" s="16">
        <v>190</v>
      </c>
      <c r="B194" s="20"/>
      <c r="C194" s="38"/>
      <c r="D194" s="42">
        <v>0</v>
      </c>
      <c r="E194" s="11">
        <v>0</v>
      </c>
      <c r="F194" s="11">
        <v>0</v>
      </c>
      <c r="G194" s="11">
        <v>0</v>
      </c>
      <c r="H194" s="11">
        <v>0</v>
      </c>
      <c r="I194" s="11">
        <v>0</v>
      </c>
      <c r="J194" s="11">
        <v>0</v>
      </c>
      <c r="K194" s="11">
        <v>0</v>
      </c>
      <c r="L194" s="11">
        <v>0</v>
      </c>
      <c r="M194" s="11">
        <v>0</v>
      </c>
      <c r="N194" s="12">
        <v>0</v>
      </c>
      <c r="O194" s="4"/>
      <c r="P194" s="4">
        <f t="shared" si="30"/>
        <v>0</v>
      </c>
      <c r="Q194" s="4">
        <f t="shared" si="31"/>
        <v>0</v>
      </c>
      <c r="R194" s="4">
        <f t="shared" si="32"/>
        <v>0</v>
      </c>
      <c r="S194" s="8" t="str">
        <f t="shared" si="33"/>
        <v/>
      </c>
      <c r="T194" s="8" t="str">
        <f t="shared" si="34"/>
        <v/>
      </c>
      <c r="U194" s="8" t="str">
        <f t="shared" si="35"/>
        <v/>
      </c>
      <c r="V194" s="8" t="str">
        <f t="shared" si="36"/>
        <v/>
      </c>
      <c r="W194" s="8" t="str">
        <f t="shared" si="37"/>
        <v/>
      </c>
      <c r="X194" s="8" t="str">
        <f t="shared" si="38"/>
        <v/>
      </c>
      <c r="Y194" s="8" t="str">
        <f t="shared" si="39"/>
        <v/>
      </c>
      <c r="Z194" s="8" t="str">
        <f t="shared" si="40"/>
        <v/>
      </c>
      <c r="AA194" s="8" t="str">
        <f t="shared" si="41"/>
        <v/>
      </c>
      <c r="AB194" s="8" t="str">
        <f t="shared" si="42"/>
        <v/>
      </c>
      <c r="AC194" s="5" t="str">
        <f t="shared" si="43"/>
        <v>,		// 190</v>
      </c>
      <c r="AD194" s="4"/>
      <c r="AE194" s="31" t="str">
        <f t="shared" si="44"/>
        <v>0,		// 190</v>
      </c>
      <c r="AF194" s="4"/>
    </row>
    <row r="195" spans="1:32" x14ac:dyDescent="0.25">
      <c r="A195" s="16">
        <v>191</v>
      </c>
      <c r="B195" s="20"/>
      <c r="C195" s="38"/>
      <c r="D195" s="42">
        <v>0</v>
      </c>
      <c r="E195" s="11">
        <v>0</v>
      </c>
      <c r="F195" s="11">
        <v>0</v>
      </c>
      <c r="G195" s="11">
        <v>0</v>
      </c>
      <c r="H195" s="11">
        <v>0</v>
      </c>
      <c r="I195" s="11">
        <v>0</v>
      </c>
      <c r="J195" s="11">
        <v>0</v>
      </c>
      <c r="K195" s="11">
        <v>0</v>
      </c>
      <c r="L195" s="11">
        <v>0</v>
      </c>
      <c r="M195" s="11">
        <v>0</v>
      </c>
      <c r="N195" s="12">
        <v>0</v>
      </c>
      <c r="O195" s="4"/>
      <c r="P195" s="4">
        <f t="shared" si="30"/>
        <v>0</v>
      </c>
      <c r="Q195" s="4">
        <f t="shared" si="31"/>
        <v>0</v>
      </c>
      <c r="R195" s="4">
        <f t="shared" si="32"/>
        <v>0</v>
      </c>
      <c r="S195" s="8" t="str">
        <f t="shared" si="33"/>
        <v/>
      </c>
      <c r="T195" s="8" t="str">
        <f t="shared" si="34"/>
        <v/>
      </c>
      <c r="U195" s="8" t="str">
        <f t="shared" si="35"/>
        <v/>
      </c>
      <c r="V195" s="8" t="str">
        <f t="shared" si="36"/>
        <v/>
      </c>
      <c r="W195" s="8" t="str">
        <f t="shared" si="37"/>
        <v/>
      </c>
      <c r="X195" s="8" t="str">
        <f t="shared" si="38"/>
        <v/>
      </c>
      <c r="Y195" s="8" t="str">
        <f t="shared" si="39"/>
        <v/>
      </c>
      <c r="Z195" s="8" t="str">
        <f t="shared" si="40"/>
        <v/>
      </c>
      <c r="AA195" s="8" t="str">
        <f t="shared" si="41"/>
        <v/>
      </c>
      <c r="AB195" s="8" t="str">
        <f t="shared" si="42"/>
        <v/>
      </c>
      <c r="AC195" s="5" t="str">
        <f t="shared" si="43"/>
        <v>,		// 191</v>
      </c>
      <c r="AD195" s="4"/>
      <c r="AE195" s="31" t="str">
        <f t="shared" si="44"/>
        <v>0,		// 191</v>
      </c>
      <c r="AF195" s="4"/>
    </row>
    <row r="196" spans="1:32" x14ac:dyDescent="0.25">
      <c r="A196" s="16">
        <v>192</v>
      </c>
      <c r="B196" s="20"/>
      <c r="C196" s="38"/>
      <c r="D196" s="42">
        <v>0</v>
      </c>
      <c r="E196" s="11">
        <v>0</v>
      </c>
      <c r="F196" s="11">
        <v>0</v>
      </c>
      <c r="G196" s="11">
        <v>0</v>
      </c>
      <c r="H196" s="11">
        <v>0</v>
      </c>
      <c r="I196" s="11">
        <v>0</v>
      </c>
      <c r="J196" s="11">
        <v>0</v>
      </c>
      <c r="K196" s="11">
        <v>0</v>
      </c>
      <c r="L196" s="11">
        <v>0</v>
      </c>
      <c r="M196" s="11">
        <v>0</v>
      </c>
      <c r="N196" s="12">
        <v>0</v>
      </c>
      <c r="O196" s="4"/>
      <c r="P196" s="4">
        <f t="shared" si="30"/>
        <v>0</v>
      </c>
      <c r="Q196" s="4">
        <f t="shared" si="31"/>
        <v>0</v>
      </c>
      <c r="R196" s="4">
        <f t="shared" si="32"/>
        <v>0</v>
      </c>
      <c r="S196" s="8" t="str">
        <f t="shared" si="33"/>
        <v/>
      </c>
      <c r="T196" s="8" t="str">
        <f t="shared" si="34"/>
        <v/>
      </c>
      <c r="U196" s="8" t="str">
        <f t="shared" si="35"/>
        <v/>
      </c>
      <c r="V196" s="8" t="str">
        <f t="shared" si="36"/>
        <v/>
      </c>
      <c r="W196" s="8" t="str">
        <f t="shared" si="37"/>
        <v/>
      </c>
      <c r="X196" s="8" t="str">
        <f t="shared" si="38"/>
        <v/>
      </c>
      <c r="Y196" s="8" t="str">
        <f t="shared" si="39"/>
        <v/>
      </c>
      <c r="Z196" s="8" t="str">
        <f t="shared" si="40"/>
        <v/>
      </c>
      <c r="AA196" s="8" t="str">
        <f t="shared" si="41"/>
        <v/>
      </c>
      <c r="AB196" s="8" t="str">
        <f t="shared" si="42"/>
        <v/>
      </c>
      <c r="AC196" s="5" t="str">
        <f t="shared" si="43"/>
        <v>,		// 192</v>
      </c>
      <c r="AD196" s="4"/>
      <c r="AE196" s="31" t="str">
        <f t="shared" si="44"/>
        <v>0,		// 192</v>
      </c>
      <c r="AF196" s="4"/>
    </row>
    <row r="197" spans="1:32" x14ac:dyDescent="0.25">
      <c r="A197" s="16">
        <v>193</v>
      </c>
      <c r="B197" s="20"/>
      <c r="C197" s="38"/>
      <c r="D197" s="42">
        <v>0</v>
      </c>
      <c r="E197" s="11">
        <v>0</v>
      </c>
      <c r="F197" s="11">
        <v>0</v>
      </c>
      <c r="G197" s="11">
        <v>0</v>
      </c>
      <c r="H197" s="11">
        <v>0</v>
      </c>
      <c r="I197" s="11">
        <v>0</v>
      </c>
      <c r="J197" s="11">
        <v>0</v>
      </c>
      <c r="K197" s="11">
        <v>0</v>
      </c>
      <c r="L197" s="11">
        <v>0</v>
      </c>
      <c r="M197" s="11">
        <v>0</v>
      </c>
      <c r="N197" s="12">
        <v>0</v>
      </c>
      <c r="O197" s="4"/>
      <c r="P197" s="4">
        <f t="shared" ref="P197:P259" si="45">IF(D197&lt;&gt;0,D197,IF(N197&lt;&gt;0,10,IF(M197&lt;&gt;0,9,IF(L197&lt;&gt;0,8,IF(K197&lt;&gt;0,7,IF(J197&lt;&gt;0,6,IF(I197&lt;&gt;0,5,IF(H197&lt;&gt;0,4,IF(G197&lt;&gt;0,3,IF(F197&lt;&gt;0,2,IF(E197&lt;&gt;0,1,0)))))))))))</f>
        <v>0</v>
      </c>
      <c r="Q197" s="4">
        <f t="shared" ref="Q197:Q259" si="46">IF($Q$2,P69,0)</f>
        <v>0</v>
      </c>
      <c r="R197" s="4">
        <f t="shared" ref="R197:R259" si="47">MAX(P197:Q197)</f>
        <v>0</v>
      </c>
      <c r="S197" s="8" t="str">
        <f t="shared" ref="S197:S259" si="48">IF($R197&gt;=S$3,", "&amp;E197,"")</f>
        <v/>
      </c>
      <c r="T197" s="8" t="str">
        <f t="shared" ref="T197:T259" si="49">IF($R197&gt;=T$3,", "&amp;F197,"")</f>
        <v/>
      </c>
      <c r="U197" s="8" t="str">
        <f t="shared" ref="U197:U259" si="50">IF($R197&gt;=U$3,", "&amp;G197,"")</f>
        <v/>
      </c>
      <c r="V197" s="8" t="str">
        <f t="shared" ref="V197:V259" si="51">IF($R197&gt;=V$3,", "&amp;H197,"")</f>
        <v/>
      </c>
      <c r="W197" s="8" t="str">
        <f t="shared" ref="W197:W259" si="52">IF($R197&gt;=W$3,", "&amp;I197,"")</f>
        <v/>
      </c>
      <c r="X197" s="8" t="str">
        <f t="shared" ref="X197:X259" si="53">IF($R197&gt;=X$3,", "&amp;J197,"")</f>
        <v/>
      </c>
      <c r="Y197" s="8" t="str">
        <f t="shared" ref="Y197:Y259" si="54">IF($R197&gt;=Y$3,", "&amp;K197,"")</f>
        <v/>
      </c>
      <c r="Z197" s="8" t="str">
        <f t="shared" ref="Z197:Z259" si="55">IF($R197&gt;=Z$3,", "&amp;L197,"")</f>
        <v/>
      </c>
      <c r="AA197" s="8" t="str">
        <f t="shared" ref="AA197:AA259" si="56">IF($R197&gt;=AA$3,", "&amp;M197,"")</f>
        <v/>
      </c>
      <c r="AB197" s="8" t="str">
        <f t="shared" ref="AB197:AB259" si="57">IF($R197&gt;=AB$3,", "&amp;N197,"")</f>
        <v/>
      </c>
      <c r="AC197" s="5" t="str">
        <f t="shared" ref="AC197:AC259" si="58">","&amp;  CHAR(9) &amp; CHAR(9) &amp;"// " &amp; A197 &amp; IF(LEN(C197)&lt;&gt;0," - " &amp;  CHAR(39) &amp; C197 &amp; CHAR(39),"")</f>
        <v>,		// 193</v>
      </c>
      <c r="AD197" s="4"/>
      <c r="AE197" s="31" t="str">
        <f t="shared" si="44"/>
        <v>0,		// 193</v>
      </c>
      <c r="AF197" s="4"/>
    </row>
    <row r="198" spans="1:32" x14ac:dyDescent="0.25">
      <c r="A198" s="16">
        <v>194</v>
      </c>
      <c r="B198" s="20"/>
      <c r="C198" s="38"/>
      <c r="D198" s="42">
        <v>0</v>
      </c>
      <c r="E198" s="11">
        <v>0</v>
      </c>
      <c r="F198" s="11">
        <v>0</v>
      </c>
      <c r="G198" s="11">
        <v>0</v>
      </c>
      <c r="H198" s="11">
        <v>0</v>
      </c>
      <c r="I198" s="11">
        <v>0</v>
      </c>
      <c r="J198" s="11">
        <v>0</v>
      </c>
      <c r="K198" s="11">
        <v>0</v>
      </c>
      <c r="L198" s="11">
        <v>0</v>
      </c>
      <c r="M198" s="11">
        <v>0</v>
      </c>
      <c r="N198" s="12">
        <v>0</v>
      </c>
      <c r="O198" s="4"/>
      <c r="P198" s="4">
        <f t="shared" si="45"/>
        <v>0</v>
      </c>
      <c r="Q198" s="4">
        <f t="shared" si="46"/>
        <v>0</v>
      </c>
      <c r="R198" s="4">
        <f t="shared" si="47"/>
        <v>0</v>
      </c>
      <c r="S198" s="8" t="str">
        <f t="shared" si="48"/>
        <v/>
      </c>
      <c r="T198" s="8" t="str">
        <f t="shared" si="49"/>
        <v/>
      </c>
      <c r="U198" s="8" t="str">
        <f t="shared" si="50"/>
        <v/>
      </c>
      <c r="V198" s="8" t="str">
        <f t="shared" si="51"/>
        <v/>
      </c>
      <c r="W198" s="8" t="str">
        <f t="shared" si="52"/>
        <v/>
      </c>
      <c r="X198" s="8" t="str">
        <f t="shared" si="53"/>
        <v/>
      </c>
      <c r="Y198" s="8" t="str">
        <f t="shared" si="54"/>
        <v/>
      </c>
      <c r="Z198" s="8" t="str">
        <f t="shared" si="55"/>
        <v/>
      </c>
      <c r="AA198" s="8" t="str">
        <f t="shared" si="56"/>
        <v/>
      </c>
      <c r="AB198" s="8" t="str">
        <f t="shared" si="57"/>
        <v/>
      </c>
      <c r="AC198" s="5" t="str">
        <f t="shared" si="58"/>
        <v>,		// 194</v>
      </c>
      <c r="AD198" s="4"/>
      <c r="AE198" s="31" t="str">
        <f t="shared" ref="AE198:AE258" si="59">MAX(P198,Q198)&amp;S198&amp;T198&amp;U198&amp;V198&amp;W198&amp;X198&amp;Y198&amp;Z198&amp;AA198&amp;AB198&amp;AC198</f>
        <v>0,		// 194</v>
      </c>
      <c r="AF198" s="4"/>
    </row>
    <row r="199" spans="1:32" x14ac:dyDescent="0.25">
      <c r="A199" s="16">
        <v>195</v>
      </c>
      <c r="B199" s="20"/>
      <c r="C199" s="38"/>
      <c r="D199" s="42">
        <v>0</v>
      </c>
      <c r="E199" s="11">
        <v>0</v>
      </c>
      <c r="F199" s="11">
        <v>0</v>
      </c>
      <c r="G199" s="11">
        <v>0</v>
      </c>
      <c r="H199" s="11">
        <v>0</v>
      </c>
      <c r="I199" s="11">
        <v>0</v>
      </c>
      <c r="J199" s="11">
        <v>0</v>
      </c>
      <c r="K199" s="11">
        <v>0</v>
      </c>
      <c r="L199" s="11">
        <v>0</v>
      </c>
      <c r="M199" s="11">
        <v>0</v>
      </c>
      <c r="N199" s="12">
        <v>0</v>
      </c>
      <c r="O199" s="4"/>
      <c r="P199" s="4">
        <f t="shared" si="45"/>
        <v>0</v>
      </c>
      <c r="Q199" s="4">
        <f t="shared" si="46"/>
        <v>0</v>
      </c>
      <c r="R199" s="4">
        <f t="shared" si="47"/>
        <v>0</v>
      </c>
      <c r="S199" s="8" t="str">
        <f t="shared" si="48"/>
        <v/>
      </c>
      <c r="T199" s="8" t="str">
        <f t="shared" si="49"/>
        <v/>
      </c>
      <c r="U199" s="8" t="str">
        <f t="shared" si="50"/>
        <v/>
      </c>
      <c r="V199" s="8" t="str">
        <f t="shared" si="51"/>
        <v/>
      </c>
      <c r="W199" s="8" t="str">
        <f t="shared" si="52"/>
        <v/>
      </c>
      <c r="X199" s="8" t="str">
        <f t="shared" si="53"/>
        <v/>
      </c>
      <c r="Y199" s="8" t="str">
        <f t="shared" si="54"/>
        <v/>
      </c>
      <c r="Z199" s="8" t="str">
        <f t="shared" si="55"/>
        <v/>
      </c>
      <c r="AA199" s="8" t="str">
        <f t="shared" si="56"/>
        <v/>
      </c>
      <c r="AB199" s="8" t="str">
        <f t="shared" si="57"/>
        <v/>
      </c>
      <c r="AC199" s="5" t="str">
        <f t="shared" si="58"/>
        <v>,		// 195</v>
      </c>
      <c r="AD199" s="4"/>
      <c r="AE199" s="31" t="str">
        <f t="shared" si="59"/>
        <v>0,		// 195</v>
      </c>
      <c r="AF199" s="4"/>
    </row>
    <row r="200" spans="1:32" x14ac:dyDescent="0.25">
      <c r="A200" s="16">
        <v>196</v>
      </c>
      <c r="B200" s="20"/>
      <c r="C200" s="38"/>
      <c r="D200" s="42">
        <v>0</v>
      </c>
      <c r="E200" s="11">
        <v>0</v>
      </c>
      <c r="F200" s="11">
        <v>0</v>
      </c>
      <c r="G200" s="11">
        <v>0</v>
      </c>
      <c r="H200" s="11">
        <v>0</v>
      </c>
      <c r="I200" s="11">
        <v>0</v>
      </c>
      <c r="J200" s="11">
        <v>0</v>
      </c>
      <c r="K200" s="11">
        <v>0</v>
      </c>
      <c r="L200" s="11">
        <v>0</v>
      </c>
      <c r="M200" s="11">
        <v>0</v>
      </c>
      <c r="N200" s="12">
        <v>0</v>
      </c>
      <c r="O200" s="4"/>
      <c r="P200" s="4">
        <f t="shared" si="45"/>
        <v>0</v>
      </c>
      <c r="Q200" s="4">
        <f t="shared" si="46"/>
        <v>0</v>
      </c>
      <c r="R200" s="4">
        <f t="shared" si="47"/>
        <v>0</v>
      </c>
      <c r="S200" s="8" t="str">
        <f t="shared" si="48"/>
        <v/>
      </c>
      <c r="T200" s="8" t="str">
        <f t="shared" si="49"/>
        <v/>
      </c>
      <c r="U200" s="8" t="str">
        <f t="shared" si="50"/>
        <v/>
      </c>
      <c r="V200" s="8" t="str">
        <f t="shared" si="51"/>
        <v/>
      </c>
      <c r="W200" s="8" t="str">
        <f t="shared" si="52"/>
        <v/>
      </c>
      <c r="X200" s="8" t="str">
        <f t="shared" si="53"/>
        <v/>
      </c>
      <c r="Y200" s="8" t="str">
        <f t="shared" si="54"/>
        <v/>
      </c>
      <c r="Z200" s="8" t="str">
        <f t="shared" si="55"/>
        <v/>
      </c>
      <c r="AA200" s="8" t="str">
        <f t="shared" si="56"/>
        <v/>
      </c>
      <c r="AB200" s="8" t="str">
        <f t="shared" si="57"/>
        <v/>
      </c>
      <c r="AC200" s="5" t="str">
        <f t="shared" si="58"/>
        <v>,		// 196</v>
      </c>
      <c r="AD200" s="4"/>
      <c r="AE200" s="31" t="str">
        <f t="shared" si="59"/>
        <v>0,		// 196</v>
      </c>
      <c r="AF200" s="4"/>
    </row>
    <row r="201" spans="1:32" x14ac:dyDescent="0.25">
      <c r="A201" s="16">
        <v>197</v>
      </c>
      <c r="B201" s="20"/>
      <c r="C201" s="38"/>
      <c r="D201" s="42">
        <v>0</v>
      </c>
      <c r="E201" s="11">
        <v>0</v>
      </c>
      <c r="F201" s="11">
        <v>0</v>
      </c>
      <c r="G201" s="11">
        <v>0</v>
      </c>
      <c r="H201" s="11">
        <v>0</v>
      </c>
      <c r="I201" s="11">
        <v>0</v>
      </c>
      <c r="J201" s="11">
        <v>0</v>
      </c>
      <c r="K201" s="11">
        <v>0</v>
      </c>
      <c r="L201" s="11">
        <v>0</v>
      </c>
      <c r="M201" s="11">
        <v>0</v>
      </c>
      <c r="N201" s="12">
        <v>0</v>
      </c>
      <c r="O201" s="4"/>
      <c r="P201" s="4">
        <f t="shared" si="45"/>
        <v>0</v>
      </c>
      <c r="Q201" s="4">
        <f t="shared" si="46"/>
        <v>0</v>
      </c>
      <c r="R201" s="4">
        <f t="shared" si="47"/>
        <v>0</v>
      </c>
      <c r="S201" s="8" t="str">
        <f t="shared" si="48"/>
        <v/>
      </c>
      <c r="T201" s="8" t="str">
        <f t="shared" si="49"/>
        <v/>
      </c>
      <c r="U201" s="8" t="str">
        <f t="shared" si="50"/>
        <v/>
      </c>
      <c r="V201" s="8" t="str">
        <f t="shared" si="51"/>
        <v/>
      </c>
      <c r="W201" s="8" t="str">
        <f t="shared" si="52"/>
        <v/>
      </c>
      <c r="X201" s="8" t="str">
        <f t="shared" si="53"/>
        <v/>
      </c>
      <c r="Y201" s="8" t="str">
        <f t="shared" si="54"/>
        <v/>
      </c>
      <c r="Z201" s="8" t="str">
        <f t="shared" si="55"/>
        <v/>
      </c>
      <c r="AA201" s="8" t="str">
        <f t="shared" si="56"/>
        <v/>
      </c>
      <c r="AB201" s="8" t="str">
        <f t="shared" si="57"/>
        <v/>
      </c>
      <c r="AC201" s="5" t="str">
        <f t="shared" si="58"/>
        <v>,		// 197</v>
      </c>
      <c r="AD201" s="4"/>
      <c r="AE201" s="31" t="str">
        <f t="shared" si="59"/>
        <v>0,		// 197</v>
      </c>
      <c r="AF201" s="4"/>
    </row>
    <row r="202" spans="1:32" x14ac:dyDescent="0.25">
      <c r="A202" s="16">
        <v>198</v>
      </c>
      <c r="B202" s="20"/>
      <c r="C202" s="38"/>
      <c r="D202" s="42">
        <v>0</v>
      </c>
      <c r="E202" s="11">
        <v>0</v>
      </c>
      <c r="F202" s="11">
        <v>0</v>
      </c>
      <c r="G202" s="11">
        <v>0</v>
      </c>
      <c r="H202" s="11">
        <v>0</v>
      </c>
      <c r="I202" s="11">
        <v>0</v>
      </c>
      <c r="J202" s="11">
        <v>0</v>
      </c>
      <c r="K202" s="11">
        <v>0</v>
      </c>
      <c r="L202" s="11">
        <v>0</v>
      </c>
      <c r="M202" s="11">
        <v>0</v>
      </c>
      <c r="N202" s="12">
        <v>0</v>
      </c>
      <c r="O202" s="4"/>
      <c r="P202" s="4">
        <f t="shared" si="45"/>
        <v>0</v>
      </c>
      <c r="Q202" s="4">
        <f t="shared" si="46"/>
        <v>0</v>
      </c>
      <c r="R202" s="4">
        <f t="shared" si="47"/>
        <v>0</v>
      </c>
      <c r="S202" s="8" t="str">
        <f t="shared" si="48"/>
        <v/>
      </c>
      <c r="T202" s="8" t="str">
        <f t="shared" si="49"/>
        <v/>
      </c>
      <c r="U202" s="8" t="str">
        <f t="shared" si="50"/>
        <v/>
      </c>
      <c r="V202" s="8" t="str">
        <f t="shared" si="51"/>
        <v/>
      </c>
      <c r="W202" s="8" t="str">
        <f t="shared" si="52"/>
        <v/>
      </c>
      <c r="X202" s="8" t="str">
        <f t="shared" si="53"/>
        <v/>
      </c>
      <c r="Y202" s="8" t="str">
        <f t="shared" si="54"/>
        <v/>
      </c>
      <c r="Z202" s="8" t="str">
        <f t="shared" si="55"/>
        <v/>
      </c>
      <c r="AA202" s="8" t="str">
        <f t="shared" si="56"/>
        <v/>
      </c>
      <c r="AB202" s="8" t="str">
        <f t="shared" si="57"/>
        <v/>
      </c>
      <c r="AC202" s="5" t="str">
        <f t="shared" si="58"/>
        <v>,		// 198</v>
      </c>
      <c r="AD202" s="4"/>
      <c r="AE202" s="31" t="str">
        <f t="shared" si="59"/>
        <v>0,		// 198</v>
      </c>
      <c r="AF202" s="4"/>
    </row>
    <row r="203" spans="1:32" x14ac:dyDescent="0.25">
      <c r="A203" s="16">
        <v>199</v>
      </c>
      <c r="B203" s="20"/>
      <c r="C203" s="38"/>
      <c r="D203" s="42">
        <v>0</v>
      </c>
      <c r="E203" s="11">
        <v>0</v>
      </c>
      <c r="F203" s="11">
        <v>0</v>
      </c>
      <c r="G203" s="11">
        <v>0</v>
      </c>
      <c r="H203" s="11">
        <v>0</v>
      </c>
      <c r="I203" s="11">
        <v>0</v>
      </c>
      <c r="J203" s="11">
        <v>0</v>
      </c>
      <c r="K203" s="11">
        <v>0</v>
      </c>
      <c r="L203" s="11">
        <v>0</v>
      </c>
      <c r="M203" s="11">
        <v>0</v>
      </c>
      <c r="N203" s="12">
        <v>0</v>
      </c>
      <c r="O203" s="4"/>
      <c r="P203" s="4">
        <f t="shared" si="45"/>
        <v>0</v>
      </c>
      <c r="Q203" s="4">
        <f t="shared" si="46"/>
        <v>0</v>
      </c>
      <c r="R203" s="4">
        <f t="shared" si="47"/>
        <v>0</v>
      </c>
      <c r="S203" s="8" t="str">
        <f t="shared" si="48"/>
        <v/>
      </c>
      <c r="T203" s="8" t="str">
        <f t="shared" si="49"/>
        <v/>
      </c>
      <c r="U203" s="8" t="str">
        <f t="shared" si="50"/>
        <v/>
      </c>
      <c r="V203" s="8" t="str">
        <f t="shared" si="51"/>
        <v/>
      </c>
      <c r="W203" s="8" t="str">
        <f t="shared" si="52"/>
        <v/>
      </c>
      <c r="X203" s="8" t="str">
        <f t="shared" si="53"/>
        <v/>
      </c>
      <c r="Y203" s="8" t="str">
        <f t="shared" si="54"/>
        <v/>
      </c>
      <c r="Z203" s="8" t="str">
        <f t="shared" si="55"/>
        <v/>
      </c>
      <c r="AA203" s="8" t="str">
        <f t="shared" si="56"/>
        <v/>
      </c>
      <c r="AB203" s="8" t="str">
        <f t="shared" si="57"/>
        <v/>
      </c>
      <c r="AC203" s="5" t="str">
        <f t="shared" si="58"/>
        <v>,		// 199</v>
      </c>
      <c r="AD203" s="4"/>
      <c r="AE203" s="31" t="str">
        <f t="shared" si="59"/>
        <v>0,		// 199</v>
      </c>
      <c r="AF203" s="4"/>
    </row>
    <row r="204" spans="1:32" x14ac:dyDescent="0.25">
      <c r="A204" s="16">
        <v>200</v>
      </c>
      <c r="B204" s="20"/>
      <c r="C204" s="38"/>
      <c r="D204" s="42">
        <v>0</v>
      </c>
      <c r="E204" s="11">
        <v>0</v>
      </c>
      <c r="F204" s="11">
        <v>0</v>
      </c>
      <c r="G204" s="11">
        <v>0</v>
      </c>
      <c r="H204" s="11">
        <v>0</v>
      </c>
      <c r="I204" s="11">
        <v>0</v>
      </c>
      <c r="J204" s="11">
        <v>0</v>
      </c>
      <c r="K204" s="11">
        <v>0</v>
      </c>
      <c r="L204" s="11">
        <v>0</v>
      </c>
      <c r="M204" s="11">
        <v>0</v>
      </c>
      <c r="N204" s="12">
        <v>0</v>
      </c>
      <c r="O204" s="4"/>
      <c r="P204" s="4">
        <f t="shared" si="45"/>
        <v>0</v>
      </c>
      <c r="Q204" s="4">
        <f t="shared" si="46"/>
        <v>0</v>
      </c>
      <c r="R204" s="4">
        <f t="shared" si="47"/>
        <v>0</v>
      </c>
      <c r="S204" s="8" t="str">
        <f t="shared" si="48"/>
        <v/>
      </c>
      <c r="T204" s="8" t="str">
        <f t="shared" si="49"/>
        <v/>
      </c>
      <c r="U204" s="8" t="str">
        <f t="shared" si="50"/>
        <v/>
      </c>
      <c r="V204" s="8" t="str">
        <f t="shared" si="51"/>
        <v/>
      </c>
      <c r="W204" s="8" t="str">
        <f t="shared" si="52"/>
        <v/>
      </c>
      <c r="X204" s="8" t="str">
        <f t="shared" si="53"/>
        <v/>
      </c>
      <c r="Y204" s="8" t="str">
        <f t="shared" si="54"/>
        <v/>
      </c>
      <c r="Z204" s="8" t="str">
        <f t="shared" si="55"/>
        <v/>
      </c>
      <c r="AA204" s="8" t="str">
        <f t="shared" si="56"/>
        <v/>
      </c>
      <c r="AB204" s="8" t="str">
        <f t="shared" si="57"/>
        <v/>
      </c>
      <c r="AC204" s="5" t="str">
        <f t="shared" si="58"/>
        <v>,		// 200</v>
      </c>
      <c r="AD204" s="4"/>
      <c r="AE204" s="31" t="str">
        <f t="shared" si="59"/>
        <v>0,		// 200</v>
      </c>
      <c r="AF204" s="4"/>
    </row>
    <row r="205" spans="1:32" x14ac:dyDescent="0.25">
      <c r="A205" s="16">
        <v>201</v>
      </c>
      <c r="B205" s="20"/>
      <c r="C205" s="38"/>
      <c r="D205" s="42">
        <v>0</v>
      </c>
      <c r="E205" s="11">
        <v>0</v>
      </c>
      <c r="F205" s="11">
        <v>0</v>
      </c>
      <c r="G205" s="11">
        <v>0</v>
      </c>
      <c r="H205" s="11">
        <v>0</v>
      </c>
      <c r="I205" s="11">
        <v>0</v>
      </c>
      <c r="J205" s="11">
        <v>0</v>
      </c>
      <c r="K205" s="11">
        <v>0</v>
      </c>
      <c r="L205" s="11">
        <v>0</v>
      </c>
      <c r="M205" s="11">
        <v>0</v>
      </c>
      <c r="N205" s="12">
        <v>0</v>
      </c>
      <c r="O205" s="4"/>
      <c r="P205" s="4">
        <f t="shared" si="45"/>
        <v>0</v>
      </c>
      <c r="Q205" s="4">
        <f t="shared" si="46"/>
        <v>0</v>
      </c>
      <c r="R205" s="4">
        <f t="shared" si="47"/>
        <v>0</v>
      </c>
      <c r="S205" s="8" t="str">
        <f t="shared" si="48"/>
        <v/>
      </c>
      <c r="T205" s="8" t="str">
        <f t="shared" si="49"/>
        <v/>
      </c>
      <c r="U205" s="8" t="str">
        <f t="shared" si="50"/>
        <v/>
      </c>
      <c r="V205" s="8" t="str">
        <f t="shared" si="51"/>
        <v/>
      </c>
      <c r="W205" s="8" t="str">
        <f t="shared" si="52"/>
        <v/>
      </c>
      <c r="X205" s="8" t="str">
        <f t="shared" si="53"/>
        <v/>
      </c>
      <c r="Y205" s="8" t="str">
        <f t="shared" si="54"/>
        <v/>
      </c>
      <c r="Z205" s="8" t="str">
        <f t="shared" si="55"/>
        <v/>
      </c>
      <c r="AA205" s="8" t="str">
        <f t="shared" si="56"/>
        <v/>
      </c>
      <c r="AB205" s="8" t="str">
        <f t="shared" si="57"/>
        <v/>
      </c>
      <c r="AC205" s="5" t="str">
        <f t="shared" si="58"/>
        <v>,		// 201</v>
      </c>
      <c r="AD205" s="4"/>
      <c r="AE205" s="31" t="str">
        <f t="shared" si="59"/>
        <v>0,		// 201</v>
      </c>
      <c r="AF205" s="4"/>
    </row>
    <row r="206" spans="1:32" x14ac:dyDescent="0.25">
      <c r="A206" s="16">
        <v>202</v>
      </c>
      <c r="B206" s="20"/>
      <c r="C206" s="38"/>
      <c r="D206" s="42">
        <v>0</v>
      </c>
      <c r="E206" s="11">
        <v>0</v>
      </c>
      <c r="F206" s="11">
        <v>0</v>
      </c>
      <c r="G206" s="11">
        <v>0</v>
      </c>
      <c r="H206" s="11">
        <v>0</v>
      </c>
      <c r="I206" s="11">
        <v>0</v>
      </c>
      <c r="J206" s="11">
        <v>0</v>
      </c>
      <c r="K206" s="11">
        <v>0</v>
      </c>
      <c r="L206" s="11">
        <v>0</v>
      </c>
      <c r="M206" s="11">
        <v>0</v>
      </c>
      <c r="N206" s="12">
        <v>0</v>
      </c>
      <c r="O206" s="4"/>
      <c r="P206" s="4">
        <f t="shared" si="45"/>
        <v>0</v>
      </c>
      <c r="Q206" s="4">
        <f t="shared" si="46"/>
        <v>0</v>
      </c>
      <c r="R206" s="4">
        <f t="shared" si="47"/>
        <v>0</v>
      </c>
      <c r="S206" s="8" t="str">
        <f t="shared" si="48"/>
        <v/>
      </c>
      <c r="T206" s="8" t="str">
        <f t="shared" si="49"/>
        <v/>
      </c>
      <c r="U206" s="8" t="str">
        <f t="shared" si="50"/>
        <v/>
      </c>
      <c r="V206" s="8" t="str">
        <f t="shared" si="51"/>
        <v/>
      </c>
      <c r="W206" s="8" t="str">
        <f t="shared" si="52"/>
        <v/>
      </c>
      <c r="X206" s="8" t="str">
        <f t="shared" si="53"/>
        <v/>
      </c>
      <c r="Y206" s="8" t="str">
        <f t="shared" si="54"/>
        <v/>
      </c>
      <c r="Z206" s="8" t="str">
        <f t="shared" si="55"/>
        <v/>
      </c>
      <c r="AA206" s="8" t="str">
        <f t="shared" si="56"/>
        <v/>
      </c>
      <c r="AB206" s="8" t="str">
        <f t="shared" si="57"/>
        <v/>
      </c>
      <c r="AC206" s="5" t="str">
        <f t="shared" si="58"/>
        <v>,		// 202</v>
      </c>
      <c r="AD206" s="4"/>
      <c r="AE206" s="31" t="str">
        <f t="shared" si="59"/>
        <v>0,		// 202</v>
      </c>
      <c r="AF206" s="4"/>
    </row>
    <row r="207" spans="1:32" x14ac:dyDescent="0.25">
      <c r="A207" s="16">
        <v>203</v>
      </c>
      <c r="B207" s="20"/>
      <c r="C207" s="38"/>
      <c r="D207" s="42">
        <v>0</v>
      </c>
      <c r="E207" s="11">
        <v>0</v>
      </c>
      <c r="F207" s="11">
        <v>0</v>
      </c>
      <c r="G207" s="11">
        <v>0</v>
      </c>
      <c r="H207" s="11">
        <v>0</v>
      </c>
      <c r="I207" s="11">
        <v>0</v>
      </c>
      <c r="J207" s="11">
        <v>0</v>
      </c>
      <c r="K207" s="11">
        <v>0</v>
      </c>
      <c r="L207" s="11">
        <v>0</v>
      </c>
      <c r="M207" s="11">
        <v>0</v>
      </c>
      <c r="N207" s="12">
        <v>0</v>
      </c>
      <c r="O207" s="4"/>
      <c r="P207" s="4">
        <f t="shared" si="45"/>
        <v>0</v>
      </c>
      <c r="Q207" s="4">
        <f t="shared" si="46"/>
        <v>0</v>
      </c>
      <c r="R207" s="4">
        <f t="shared" si="47"/>
        <v>0</v>
      </c>
      <c r="S207" s="8" t="str">
        <f t="shared" si="48"/>
        <v/>
      </c>
      <c r="T207" s="8" t="str">
        <f t="shared" si="49"/>
        <v/>
      </c>
      <c r="U207" s="8" t="str">
        <f t="shared" si="50"/>
        <v/>
      </c>
      <c r="V207" s="8" t="str">
        <f t="shared" si="51"/>
        <v/>
      </c>
      <c r="W207" s="8" t="str">
        <f t="shared" si="52"/>
        <v/>
      </c>
      <c r="X207" s="8" t="str">
        <f t="shared" si="53"/>
        <v/>
      </c>
      <c r="Y207" s="8" t="str">
        <f t="shared" si="54"/>
        <v/>
      </c>
      <c r="Z207" s="8" t="str">
        <f t="shared" si="55"/>
        <v/>
      </c>
      <c r="AA207" s="8" t="str">
        <f t="shared" si="56"/>
        <v/>
      </c>
      <c r="AB207" s="8" t="str">
        <f t="shared" si="57"/>
        <v/>
      </c>
      <c r="AC207" s="5" t="str">
        <f t="shared" si="58"/>
        <v>,		// 203</v>
      </c>
      <c r="AD207" s="4"/>
      <c r="AE207" s="31" t="str">
        <f t="shared" si="59"/>
        <v>0,		// 203</v>
      </c>
      <c r="AF207" s="4"/>
    </row>
    <row r="208" spans="1:32" x14ac:dyDescent="0.25">
      <c r="A208" s="16">
        <v>204</v>
      </c>
      <c r="B208" s="20"/>
      <c r="C208" s="38"/>
      <c r="D208" s="42">
        <v>0</v>
      </c>
      <c r="E208" s="11">
        <v>0</v>
      </c>
      <c r="F208" s="11">
        <v>0</v>
      </c>
      <c r="G208" s="11">
        <v>0</v>
      </c>
      <c r="H208" s="11">
        <v>0</v>
      </c>
      <c r="I208" s="11">
        <v>0</v>
      </c>
      <c r="J208" s="11">
        <v>0</v>
      </c>
      <c r="K208" s="11">
        <v>0</v>
      </c>
      <c r="L208" s="11">
        <v>0</v>
      </c>
      <c r="M208" s="11">
        <v>0</v>
      </c>
      <c r="N208" s="12">
        <v>0</v>
      </c>
      <c r="O208" s="4"/>
      <c r="P208" s="4">
        <f t="shared" si="45"/>
        <v>0</v>
      </c>
      <c r="Q208" s="4">
        <f t="shared" si="46"/>
        <v>0</v>
      </c>
      <c r="R208" s="4">
        <f t="shared" si="47"/>
        <v>0</v>
      </c>
      <c r="S208" s="8" t="str">
        <f t="shared" si="48"/>
        <v/>
      </c>
      <c r="T208" s="8" t="str">
        <f t="shared" si="49"/>
        <v/>
      </c>
      <c r="U208" s="8" t="str">
        <f t="shared" si="50"/>
        <v/>
      </c>
      <c r="V208" s="8" t="str">
        <f t="shared" si="51"/>
        <v/>
      </c>
      <c r="W208" s="8" t="str">
        <f t="shared" si="52"/>
        <v/>
      </c>
      <c r="X208" s="8" t="str">
        <f t="shared" si="53"/>
        <v/>
      </c>
      <c r="Y208" s="8" t="str">
        <f t="shared" si="54"/>
        <v/>
      </c>
      <c r="Z208" s="8" t="str">
        <f t="shared" si="55"/>
        <v/>
      </c>
      <c r="AA208" s="8" t="str">
        <f t="shared" si="56"/>
        <v/>
      </c>
      <c r="AB208" s="8" t="str">
        <f t="shared" si="57"/>
        <v/>
      </c>
      <c r="AC208" s="5" t="str">
        <f t="shared" si="58"/>
        <v>,		// 204</v>
      </c>
      <c r="AD208" s="4"/>
      <c r="AE208" s="31" t="str">
        <f t="shared" si="59"/>
        <v>0,		// 204</v>
      </c>
      <c r="AF208" s="4"/>
    </row>
    <row r="209" spans="1:32" x14ac:dyDescent="0.25">
      <c r="A209" s="16">
        <v>205</v>
      </c>
      <c r="B209" s="20"/>
      <c r="C209" s="38"/>
      <c r="D209" s="42">
        <v>0</v>
      </c>
      <c r="E209" s="11">
        <v>0</v>
      </c>
      <c r="F209" s="11">
        <v>0</v>
      </c>
      <c r="G209" s="11">
        <v>0</v>
      </c>
      <c r="H209" s="11">
        <v>0</v>
      </c>
      <c r="I209" s="11">
        <v>0</v>
      </c>
      <c r="J209" s="11">
        <v>0</v>
      </c>
      <c r="K209" s="11">
        <v>0</v>
      </c>
      <c r="L209" s="11">
        <v>0</v>
      </c>
      <c r="M209" s="11">
        <v>0</v>
      </c>
      <c r="N209" s="12">
        <v>0</v>
      </c>
      <c r="O209" s="4"/>
      <c r="P209" s="4">
        <f t="shared" si="45"/>
        <v>0</v>
      </c>
      <c r="Q209" s="4">
        <f t="shared" si="46"/>
        <v>0</v>
      </c>
      <c r="R209" s="4">
        <f t="shared" si="47"/>
        <v>0</v>
      </c>
      <c r="S209" s="8" t="str">
        <f t="shared" si="48"/>
        <v/>
      </c>
      <c r="T209" s="8" t="str">
        <f t="shared" si="49"/>
        <v/>
      </c>
      <c r="U209" s="8" t="str">
        <f t="shared" si="50"/>
        <v/>
      </c>
      <c r="V209" s="8" t="str">
        <f t="shared" si="51"/>
        <v/>
      </c>
      <c r="W209" s="8" t="str">
        <f t="shared" si="52"/>
        <v/>
      </c>
      <c r="X209" s="8" t="str">
        <f t="shared" si="53"/>
        <v/>
      </c>
      <c r="Y209" s="8" t="str">
        <f t="shared" si="54"/>
        <v/>
      </c>
      <c r="Z209" s="8" t="str">
        <f t="shared" si="55"/>
        <v/>
      </c>
      <c r="AA209" s="8" t="str">
        <f t="shared" si="56"/>
        <v/>
      </c>
      <c r="AB209" s="8" t="str">
        <f t="shared" si="57"/>
        <v/>
      </c>
      <c r="AC209" s="5" t="str">
        <f t="shared" si="58"/>
        <v>,		// 205</v>
      </c>
      <c r="AD209" s="4"/>
      <c r="AE209" s="31" t="str">
        <f t="shared" si="59"/>
        <v>0,		// 205</v>
      </c>
      <c r="AF209" s="4"/>
    </row>
    <row r="210" spans="1:32" x14ac:dyDescent="0.25">
      <c r="A210" s="16">
        <v>206</v>
      </c>
      <c r="B210" s="20"/>
      <c r="C210" s="38"/>
      <c r="D210" s="42">
        <v>0</v>
      </c>
      <c r="E210" s="11">
        <v>0</v>
      </c>
      <c r="F210" s="11">
        <v>0</v>
      </c>
      <c r="G210" s="11">
        <v>0</v>
      </c>
      <c r="H210" s="11">
        <v>0</v>
      </c>
      <c r="I210" s="11">
        <v>0</v>
      </c>
      <c r="J210" s="11">
        <v>0</v>
      </c>
      <c r="K210" s="11">
        <v>0</v>
      </c>
      <c r="L210" s="11">
        <v>0</v>
      </c>
      <c r="M210" s="11">
        <v>0</v>
      </c>
      <c r="N210" s="12">
        <v>0</v>
      </c>
      <c r="O210" s="4"/>
      <c r="P210" s="4">
        <f t="shared" si="45"/>
        <v>0</v>
      </c>
      <c r="Q210" s="4">
        <f t="shared" si="46"/>
        <v>0</v>
      </c>
      <c r="R210" s="4">
        <f t="shared" si="47"/>
        <v>0</v>
      </c>
      <c r="S210" s="8" t="str">
        <f t="shared" si="48"/>
        <v/>
      </c>
      <c r="T210" s="8" t="str">
        <f t="shared" si="49"/>
        <v/>
      </c>
      <c r="U210" s="8" t="str">
        <f t="shared" si="50"/>
        <v/>
      </c>
      <c r="V210" s="8" t="str">
        <f t="shared" si="51"/>
        <v/>
      </c>
      <c r="W210" s="8" t="str">
        <f t="shared" si="52"/>
        <v/>
      </c>
      <c r="X210" s="8" t="str">
        <f t="shared" si="53"/>
        <v/>
      </c>
      <c r="Y210" s="8" t="str">
        <f t="shared" si="54"/>
        <v/>
      </c>
      <c r="Z210" s="8" t="str">
        <f t="shared" si="55"/>
        <v/>
      </c>
      <c r="AA210" s="8" t="str">
        <f t="shared" si="56"/>
        <v/>
      </c>
      <c r="AB210" s="8" t="str">
        <f t="shared" si="57"/>
        <v/>
      </c>
      <c r="AC210" s="5" t="str">
        <f t="shared" si="58"/>
        <v>,		// 206</v>
      </c>
      <c r="AD210" s="4"/>
      <c r="AE210" s="31" t="str">
        <f t="shared" si="59"/>
        <v>0,		// 206</v>
      </c>
      <c r="AF210" s="4"/>
    </row>
    <row r="211" spans="1:32" x14ac:dyDescent="0.25">
      <c r="A211" s="16">
        <v>207</v>
      </c>
      <c r="B211" s="20"/>
      <c r="C211" s="38"/>
      <c r="D211" s="42">
        <v>0</v>
      </c>
      <c r="E211" s="11">
        <v>0</v>
      </c>
      <c r="F211" s="11">
        <v>0</v>
      </c>
      <c r="G211" s="11">
        <v>0</v>
      </c>
      <c r="H211" s="11">
        <v>0</v>
      </c>
      <c r="I211" s="11">
        <v>0</v>
      </c>
      <c r="J211" s="11">
        <v>0</v>
      </c>
      <c r="K211" s="11">
        <v>0</v>
      </c>
      <c r="L211" s="11">
        <v>0</v>
      </c>
      <c r="M211" s="11">
        <v>0</v>
      </c>
      <c r="N211" s="12">
        <v>0</v>
      </c>
      <c r="O211" s="4"/>
      <c r="P211" s="4">
        <f t="shared" si="45"/>
        <v>0</v>
      </c>
      <c r="Q211" s="4">
        <f t="shared" si="46"/>
        <v>0</v>
      </c>
      <c r="R211" s="4">
        <f t="shared" si="47"/>
        <v>0</v>
      </c>
      <c r="S211" s="8" t="str">
        <f t="shared" si="48"/>
        <v/>
      </c>
      <c r="T211" s="8" t="str">
        <f t="shared" si="49"/>
        <v/>
      </c>
      <c r="U211" s="8" t="str">
        <f t="shared" si="50"/>
        <v/>
      </c>
      <c r="V211" s="8" t="str">
        <f t="shared" si="51"/>
        <v/>
      </c>
      <c r="W211" s="8" t="str">
        <f t="shared" si="52"/>
        <v/>
      </c>
      <c r="X211" s="8" t="str">
        <f t="shared" si="53"/>
        <v/>
      </c>
      <c r="Y211" s="8" t="str">
        <f t="shared" si="54"/>
        <v/>
      </c>
      <c r="Z211" s="8" t="str">
        <f t="shared" si="55"/>
        <v/>
      </c>
      <c r="AA211" s="8" t="str">
        <f t="shared" si="56"/>
        <v/>
      </c>
      <c r="AB211" s="8" t="str">
        <f t="shared" si="57"/>
        <v/>
      </c>
      <c r="AC211" s="5" t="str">
        <f t="shared" si="58"/>
        <v>,		// 207</v>
      </c>
      <c r="AD211" s="4"/>
      <c r="AE211" s="31" t="str">
        <f t="shared" si="59"/>
        <v>0,		// 207</v>
      </c>
      <c r="AF211" s="4"/>
    </row>
    <row r="212" spans="1:32" x14ac:dyDescent="0.25">
      <c r="A212" s="16">
        <v>208</v>
      </c>
      <c r="B212" s="20"/>
      <c r="C212" s="38"/>
      <c r="D212" s="42">
        <v>0</v>
      </c>
      <c r="E212" s="11">
        <v>0</v>
      </c>
      <c r="F212" s="11">
        <v>0</v>
      </c>
      <c r="G212" s="11">
        <v>0</v>
      </c>
      <c r="H212" s="11">
        <v>0</v>
      </c>
      <c r="I212" s="11">
        <v>0</v>
      </c>
      <c r="J212" s="11">
        <v>0</v>
      </c>
      <c r="K212" s="11">
        <v>0</v>
      </c>
      <c r="L212" s="11">
        <v>0</v>
      </c>
      <c r="M212" s="11">
        <v>0</v>
      </c>
      <c r="N212" s="12">
        <v>0</v>
      </c>
      <c r="O212" s="4"/>
      <c r="P212" s="4">
        <f t="shared" si="45"/>
        <v>0</v>
      </c>
      <c r="Q212" s="4">
        <f t="shared" si="46"/>
        <v>0</v>
      </c>
      <c r="R212" s="4">
        <f t="shared" si="47"/>
        <v>0</v>
      </c>
      <c r="S212" s="8" t="str">
        <f t="shared" si="48"/>
        <v/>
      </c>
      <c r="T212" s="8" t="str">
        <f t="shared" si="49"/>
        <v/>
      </c>
      <c r="U212" s="8" t="str">
        <f t="shared" si="50"/>
        <v/>
      </c>
      <c r="V212" s="8" t="str">
        <f t="shared" si="51"/>
        <v/>
      </c>
      <c r="W212" s="8" t="str">
        <f t="shared" si="52"/>
        <v/>
      </c>
      <c r="X212" s="8" t="str">
        <f t="shared" si="53"/>
        <v/>
      </c>
      <c r="Y212" s="8" t="str">
        <f t="shared" si="54"/>
        <v/>
      </c>
      <c r="Z212" s="8" t="str">
        <f t="shared" si="55"/>
        <v/>
      </c>
      <c r="AA212" s="8" t="str">
        <f t="shared" si="56"/>
        <v/>
      </c>
      <c r="AB212" s="8" t="str">
        <f t="shared" si="57"/>
        <v/>
      </c>
      <c r="AC212" s="5" t="str">
        <f t="shared" si="58"/>
        <v>,		// 208</v>
      </c>
      <c r="AD212" s="4"/>
      <c r="AE212" s="31" t="str">
        <f t="shared" si="59"/>
        <v>0,		// 208</v>
      </c>
      <c r="AF212" s="4"/>
    </row>
    <row r="213" spans="1:32" x14ac:dyDescent="0.25">
      <c r="A213" s="16">
        <v>209</v>
      </c>
      <c r="B213" s="20"/>
      <c r="C213" s="38"/>
      <c r="D213" s="42">
        <v>0</v>
      </c>
      <c r="E213" s="11">
        <v>0</v>
      </c>
      <c r="F213" s="11">
        <v>0</v>
      </c>
      <c r="G213" s="11">
        <v>0</v>
      </c>
      <c r="H213" s="11">
        <v>0</v>
      </c>
      <c r="I213" s="11">
        <v>0</v>
      </c>
      <c r="J213" s="11">
        <v>0</v>
      </c>
      <c r="K213" s="11">
        <v>0</v>
      </c>
      <c r="L213" s="11">
        <v>0</v>
      </c>
      <c r="M213" s="11">
        <v>0</v>
      </c>
      <c r="N213" s="12">
        <v>0</v>
      </c>
      <c r="O213" s="4"/>
      <c r="P213" s="4">
        <f t="shared" si="45"/>
        <v>0</v>
      </c>
      <c r="Q213" s="4">
        <f t="shared" si="46"/>
        <v>0</v>
      </c>
      <c r="R213" s="4">
        <f t="shared" si="47"/>
        <v>0</v>
      </c>
      <c r="S213" s="8" t="str">
        <f t="shared" si="48"/>
        <v/>
      </c>
      <c r="T213" s="8" t="str">
        <f t="shared" si="49"/>
        <v/>
      </c>
      <c r="U213" s="8" t="str">
        <f t="shared" si="50"/>
        <v/>
      </c>
      <c r="V213" s="8" t="str">
        <f t="shared" si="51"/>
        <v/>
      </c>
      <c r="W213" s="8" t="str">
        <f t="shared" si="52"/>
        <v/>
      </c>
      <c r="X213" s="8" t="str">
        <f t="shared" si="53"/>
        <v/>
      </c>
      <c r="Y213" s="8" t="str">
        <f t="shared" si="54"/>
        <v/>
      </c>
      <c r="Z213" s="8" t="str">
        <f t="shared" si="55"/>
        <v/>
      </c>
      <c r="AA213" s="8" t="str">
        <f t="shared" si="56"/>
        <v/>
      </c>
      <c r="AB213" s="8" t="str">
        <f t="shared" si="57"/>
        <v/>
      </c>
      <c r="AC213" s="5" t="str">
        <f t="shared" si="58"/>
        <v>,		// 209</v>
      </c>
      <c r="AD213" s="4"/>
      <c r="AE213" s="31" t="str">
        <f t="shared" si="59"/>
        <v>0,		// 209</v>
      </c>
      <c r="AF213" s="4"/>
    </row>
    <row r="214" spans="1:32" x14ac:dyDescent="0.25">
      <c r="A214" s="16">
        <v>210</v>
      </c>
      <c r="B214" s="20"/>
      <c r="C214" s="38"/>
      <c r="D214" s="42">
        <v>0</v>
      </c>
      <c r="E214" s="11">
        <v>0</v>
      </c>
      <c r="F214" s="11">
        <v>0</v>
      </c>
      <c r="G214" s="11">
        <v>0</v>
      </c>
      <c r="H214" s="11">
        <v>0</v>
      </c>
      <c r="I214" s="11">
        <v>0</v>
      </c>
      <c r="J214" s="11">
        <v>0</v>
      </c>
      <c r="K214" s="11">
        <v>0</v>
      </c>
      <c r="L214" s="11">
        <v>0</v>
      </c>
      <c r="M214" s="11">
        <v>0</v>
      </c>
      <c r="N214" s="12">
        <v>0</v>
      </c>
      <c r="O214" s="4"/>
      <c r="P214" s="4">
        <f t="shared" si="45"/>
        <v>0</v>
      </c>
      <c r="Q214" s="4">
        <f t="shared" si="46"/>
        <v>0</v>
      </c>
      <c r="R214" s="4">
        <f t="shared" si="47"/>
        <v>0</v>
      </c>
      <c r="S214" s="8" t="str">
        <f t="shared" si="48"/>
        <v/>
      </c>
      <c r="T214" s="8" t="str">
        <f t="shared" si="49"/>
        <v/>
      </c>
      <c r="U214" s="8" t="str">
        <f t="shared" si="50"/>
        <v/>
      </c>
      <c r="V214" s="8" t="str">
        <f t="shared" si="51"/>
        <v/>
      </c>
      <c r="W214" s="8" t="str">
        <f t="shared" si="52"/>
        <v/>
      </c>
      <c r="X214" s="8" t="str">
        <f t="shared" si="53"/>
        <v/>
      </c>
      <c r="Y214" s="8" t="str">
        <f t="shared" si="54"/>
        <v/>
      </c>
      <c r="Z214" s="8" t="str">
        <f t="shared" si="55"/>
        <v/>
      </c>
      <c r="AA214" s="8" t="str">
        <f t="shared" si="56"/>
        <v/>
      </c>
      <c r="AB214" s="8" t="str">
        <f t="shared" si="57"/>
        <v/>
      </c>
      <c r="AC214" s="5" t="str">
        <f t="shared" si="58"/>
        <v>,		// 210</v>
      </c>
      <c r="AD214" s="4"/>
      <c r="AE214" s="31" t="str">
        <f t="shared" si="59"/>
        <v>0,		// 210</v>
      </c>
      <c r="AF214" s="4"/>
    </row>
    <row r="215" spans="1:32" x14ac:dyDescent="0.25">
      <c r="A215" s="16">
        <v>211</v>
      </c>
      <c r="B215" s="20"/>
      <c r="C215" s="38"/>
      <c r="D215" s="42">
        <v>0</v>
      </c>
      <c r="E215" s="11">
        <v>0</v>
      </c>
      <c r="F215" s="11">
        <v>0</v>
      </c>
      <c r="G215" s="11">
        <v>0</v>
      </c>
      <c r="H215" s="11">
        <v>0</v>
      </c>
      <c r="I215" s="11">
        <v>0</v>
      </c>
      <c r="J215" s="11">
        <v>0</v>
      </c>
      <c r="K215" s="11">
        <v>0</v>
      </c>
      <c r="L215" s="11">
        <v>0</v>
      </c>
      <c r="M215" s="11">
        <v>0</v>
      </c>
      <c r="N215" s="12">
        <v>0</v>
      </c>
      <c r="O215" s="4"/>
      <c r="P215" s="4">
        <f t="shared" si="45"/>
        <v>0</v>
      </c>
      <c r="Q215" s="4">
        <f t="shared" si="46"/>
        <v>0</v>
      </c>
      <c r="R215" s="4">
        <f t="shared" si="47"/>
        <v>0</v>
      </c>
      <c r="S215" s="8" t="str">
        <f t="shared" si="48"/>
        <v/>
      </c>
      <c r="T215" s="8" t="str">
        <f t="shared" si="49"/>
        <v/>
      </c>
      <c r="U215" s="8" t="str">
        <f t="shared" si="50"/>
        <v/>
      </c>
      <c r="V215" s="8" t="str">
        <f t="shared" si="51"/>
        <v/>
      </c>
      <c r="W215" s="8" t="str">
        <f t="shared" si="52"/>
        <v/>
      </c>
      <c r="X215" s="8" t="str">
        <f t="shared" si="53"/>
        <v/>
      </c>
      <c r="Y215" s="8" t="str">
        <f t="shared" si="54"/>
        <v/>
      </c>
      <c r="Z215" s="8" t="str">
        <f t="shared" si="55"/>
        <v/>
      </c>
      <c r="AA215" s="8" t="str">
        <f t="shared" si="56"/>
        <v/>
      </c>
      <c r="AB215" s="8" t="str">
        <f t="shared" si="57"/>
        <v/>
      </c>
      <c r="AC215" s="5" t="str">
        <f t="shared" si="58"/>
        <v>,		// 211</v>
      </c>
      <c r="AD215" s="4"/>
      <c r="AE215" s="31" t="str">
        <f t="shared" si="59"/>
        <v>0,		// 211</v>
      </c>
      <c r="AF215" s="4"/>
    </row>
    <row r="216" spans="1:32" x14ac:dyDescent="0.25">
      <c r="A216" s="16">
        <v>212</v>
      </c>
      <c r="B216" s="20"/>
      <c r="C216" s="38"/>
      <c r="D216" s="42">
        <v>0</v>
      </c>
      <c r="E216" s="11">
        <v>0</v>
      </c>
      <c r="F216" s="11">
        <v>0</v>
      </c>
      <c r="G216" s="11">
        <v>0</v>
      </c>
      <c r="H216" s="11">
        <v>0</v>
      </c>
      <c r="I216" s="11">
        <v>0</v>
      </c>
      <c r="J216" s="11">
        <v>0</v>
      </c>
      <c r="K216" s="11">
        <v>0</v>
      </c>
      <c r="L216" s="11">
        <v>0</v>
      </c>
      <c r="M216" s="11">
        <v>0</v>
      </c>
      <c r="N216" s="12">
        <v>0</v>
      </c>
      <c r="O216" s="4"/>
      <c r="P216" s="4">
        <f t="shared" si="45"/>
        <v>0</v>
      </c>
      <c r="Q216" s="4">
        <f t="shared" si="46"/>
        <v>0</v>
      </c>
      <c r="R216" s="4">
        <f t="shared" si="47"/>
        <v>0</v>
      </c>
      <c r="S216" s="8" t="str">
        <f t="shared" si="48"/>
        <v/>
      </c>
      <c r="T216" s="8" t="str">
        <f t="shared" si="49"/>
        <v/>
      </c>
      <c r="U216" s="8" t="str">
        <f t="shared" si="50"/>
        <v/>
      </c>
      <c r="V216" s="8" t="str">
        <f t="shared" si="51"/>
        <v/>
      </c>
      <c r="W216" s="8" t="str">
        <f t="shared" si="52"/>
        <v/>
      </c>
      <c r="X216" s="8" t="str">
        <f t="shared" si="53"/>
        <v/>
      </c>
      <c r="Y216" s="8" t="str">
        <f t="shared" si="54"/>
        <v/>
      </c>
      <c r="Z216" s="8" t="str">
        <f t="shared" si="55"/>
        <v/>
      </c>
      <c r="AA216" s="8" t="str">
        <f t="shared" si="56"/>
        <v/>
      </c>
      <c r="AB216" s="8" t="str">
        <f t="shared" si="57"/>
        <v/>
      </c>
      <c r="AC216" s="5" t="str">
        <f t="shared" si="58"/>
        <v>,		// 212</v>
      </c>
      <c r="AD216" s="4"/>
      <c r="AE216" s="31" t="str">
        <f t="shared" si="59"/>
        <v>0,		// 212</v>
      </c>
      <c r="AF216" s="4"/>
    </row>
    <row r="217" spans="1:32" x14ac:dyDescent="0.25">
      <c r="A217" s="16">
        <v>213</v>
      </c>
      <c r="B217" s="20"/>
      <c r="C217" s="38"/>
      <c r="D217" s="42">
        <v>0</v>
      </c>
      <c r="E217" s="11">
        <v>0</v>
      </c>
      <c r="F217" s="11">
        <v>0</v>
      </c>
      <c r="G217" s="11">
        <v>0</v>
      </c>
      <c r="H217" s="11">
        <v>0</v>
      </c>
      <c r="I217" s="11">
        <v>0</v>
      </c>
      <c r="J217" s="11">
        <v>0</v>
      </c>
      <c r="K217" s="11">
        <v>0</v>
      </c>
      <c r="L217" s="11">
        <v>0</v>
      </c>
      <c r="M217" s="11">
        <v>0</v>
      </c>
      <c r="N217" s="12">
        <v>0</v>
      </c>
      <c r="O217" s="4"/>
      <c r="P217" s="4">
        <f t="shared" si="45"/>
        <v>0</v>
      </c>
      <c r="Q217" s="4">
        <f t="shared" si="46"/>
        <v>0</v>
      </c>
      <c r="R217" s="4">
        <f t="shared" si="47"/>
        <v>0</v>
      </c>
      <c r="S217" s="8" t="str">
        <f t="shared" si="48"/>
        <v/>
      </c>
      <c r="T217" s="8" t="str">
        <f t="shared" si="49"/>
        <v/>
      </c>
      <c r="U217" s="8" t="str">
        <f t="shared" si="50"/>
        <v/>
      </c>
      <c r="V217" s="8" t="str">
        <f t="shared" si="51"/>
        <v/>
      </c>
      <c r="W217" s="8" t="str">
        <f t="shared" si="52"/>
        <v/>
      </c>
      <c r="X217" s="8" t="str">
        <f t="shared" si="53"/>
        <v/>
      </c>
      <c r="Y217" s="8" t="str">
        <f t="shared" si="54"/>
        <v/>
      </c>
      <c r="Z217" s="8" t="str">
        <f t="shared" si="55"/>
        <v/>
      </c>
      <c r="AA217" s="8" t="str">
        <f t="shared" si="56"/>
        <v/>
      </c>
      <c r="AB217" s="8" t="str">
        <f t="shared" si="57"/>
        <v/>
      </c>
      <c r="AC217" s="5" t="str">
        <f t="shared" si="58"/>
        <v>,		// 213</v>
      </c>
      <c r="AD217" s="4"/>
      <c r="AE217" s="31" t="str">
        <f t="shared" si="59"/>
        <v>0,		// 213</v>
      </c>
      <c r="AF217" s="4"/>
    </row>
    <row r="218" spans="1:32" x14ac:dyDescent="0.25">
      <c r="A218" s="16">
        <v>214</v>
      </c>
      <c r="B218" s="20"/>
      <c r="C218" s="38"/>
      <c r="D218" s="42">
        <v>0</v>
      </c>
      <c r="E218" s="11">
        <v>0</v>
      </c>
      <c r="F218" s="11">
        <v>0</v>
      </c>
      <c r="G218" s="11">
        <v>0</v>
      </c>
      <c r="H218" s="11">
        <v>0</v>
      </c>
      <c r="I218" s="11">
        <v>0</v>
      </c>
      <c r="J218" s="11">
        <v>0</v>
      </c>
      <c r="K218" s="11">
        <v>0</v>
      </c>
      <c r="L218" s="11">
        <v>0</v>
      </c>
      <c r="M218" s="11">
        <v>0</v>
      </c>
      <c r="N218" s="12">
        <v>0</v>
      </c>
      <c r="O218" s="4"/>
      <c r="P218" s="4">
        <f t="shared" si="45"/>
        <v>0</v>
      </c>
      <c r="Q218" s="4">
        <f t="shared" si="46"/>
        <v>0</v>
      </c>
      <c r="R218" s="4">
        <f t="shared" si="47"/>
        <v>0</v>
      </c>
      <c r="S218" s="8" t="str">
        <f t="shared" si="48"/>
        <v/>
      </c>
      <c r="T218" s="8" t="str">
        <f t="shared" si="49"/>
        <v/>
      </c>
      <c r="U218" s="8" t="str">
        <f t="shared" si="50"/>
        <v/>
      </c>
      <c r="V218" s="8" t="str">
        <f t="shared" si="51"/>
        <v/>
      </c>
      <c r="W218" s="8" t="str">
        <f t="shared" si="52"/>
        <v/>
      </c>
      <c r="X218" s="8" t="str">
        <f t="shared" si="53"/>
        <v/>
      </c>
      <c r="Y218" s="8" t="str">
        <f t="shared" si="54"/>
        <v/>
      </c>
      <c r="Z218" s="8" t="str">
        <f t="shared" si="55"/>
        <v/>
      </c>
      <c r="AA218" s="8" t="str">
        <f t="shared" si="56"/>
        <v/>
      </c>
      <c r="AB218" s="8" t="str">
        <f t="shared" si="57"/>
        <v/>
      </c>
      <c r="AC218" s="5" t="str">
        <f t="shared" si="58"/>
        <v>,		// 214</v>
      </c>
      <c r="AD218" s="4"/>
      <c r="AE218" s="31" t="str">
        <f t="shared" si="59"/>
        <v>0,		// 214</v>
      </c>
      <c r="AF218" s="4"/>
    </row>
    <row r="219" spans="1:32" x14ac:dyDescent="0.25">
      <c r="A219" s="16">
        <v>215</v>
      </c>
      <c r="B219" s="20"/>
      <c r="C219" s="38"/>
      <c r="D219" s="42">
        <v>0</v>
      </c>
      <c r="E219" s="11">
        <v>0</v>
      </c>
      <c r="F219" s="11">
        <v>0</v>
      </c>
      <c r="G219" s="11">
        <v>0</v>
      </c>
      <c r="H219" s="11">
        <v>0</v>
      </c>
      <c r="I219" s="11">
        <v>0</v>
      </c>
      <c r="J219" s="11">
        <v>0</v>
      </c>
      <c r="K219" s="11">
        <v>0</v>
      </c>
      <c r="L219" s="11">
        <v>0</v>
      </c>
      <c r="M219" s="11">
        <v>0</v>
      </c>
      <c r="N219" s="12">
        <v>0</v>
      </c>
      <c r="O219" s="4"/>
      <c r="P219" s="4">
        <f t="shared" si="45"/>
        <v>0</v>
      </c>
      <c r="Q219" s="4">
        <f t="shared" si="46"/>
        <v>0</v>
      </c>
      <c r="R219" s="4">
        <f t="shared" si="47"/>
        <v>0</v>
      </c>
      <c r="S219" s="8" t="str">
        <f t="shared" si="48"/>
        <v/>
      </c>
      <c r="T219" s="8" t="str">
        <f t="shared" si="49"/>
        <v/>
      </c>
      <c r="U219" s="8" t="str">
        <f t="shared" si="50"/>
        <v/>
      </c>
      <c r="V219" s="8" t="str">
        <f t="shared" si="51"/>
        <v/>
      </c>
      <c r="W219" s="8" t="str">
        <f t="shared" si="52"/>
        <v/>
      </c>
      <c r="X219" s="8" t="str">
        <f t="shared" si="53"/>
        <v/>
      </c>
      <c r="Y219" s="8" t="str">
        <f t="shared" si="54"/>
        <v/>
      </c>
      <c r="Z219" s="8" t="str">
        <f t="shared" si="55"/>
        <v/>
      </c>
      <c r="AA219" s="8" t="str">
        <f t="shared" si="56"/>
        <v/>
      </c>
      <c r="AB219" s="8" t="str">
        <f t="shared" si="57"/>
        <v/>
      </c>
      <c r="AC219" s="5" t="str">
        <f t="shared" si="58"/>
        <v>,		// 215</v>
      </c>
      <c r="AD219" s="4"/>
      <c r="AE219" s="31" t="str">
        <f t="shared" si="59"/>
        <v>0,		// 215</v>
      </c>
      <c r="AF219" s="4"/>
    </row>
    <row r="220" spans="1:32" x14ac:dyDescent="0.25">
      <c r="A220" s="16">
        <v>216</v>
      </c>
      <c r="B220" s="20"/>
      <c r="C220" s="38"/>
      <c r="D220" s="42">
        <v>0</v>
      </c>
      <c r="E220" s="11">
        <v>0</v>
      </c>
      <c r="F220" s="11">
        <v>0</v>
      </c>
      <c r="G220" s="11">
        <v>0</v>
      </c>
      <c r="H220" s="11">
        <v>0</v>
      </c>
      <c r="I220" s="11">
        <v>0</v>
      </c>
      <c r="J220" s="11">
        <v>0</v>
      </c>
      <c r="K220" s="11">
        <v>0</v>
      </c>
      <c r="L220" s="11">
        <v>0</v>
      </c>
      <c r="M220" s="11">
        <v>0</v>
      </c>
      <c r="N220" s="12">
        <v>0</v>
      </c>
      <c r="O220" s="4"/>
      <c r="P220" s="4">
        <f t="shared" si="45"/>
        <v>0</v>
      </c>
      <c r="Q220" s="4">
        <f t="shared" si="46"/>
        <v>0</v>
      </c>
      <c r="R220" s="4">
        <f t="shared" si="47"/>
        <v>0</v>
      </c>
      <c r="S220" s="8" t="str">
        <f t="shared" si="48"/>
        <v/>
      </c>
      <c r="T220" s="8" t="str">
        <f t="shared" si="49"/>
        <v/>
      </c>
      <c r="U220" s="8" t="str">
        <f t="shared" si="50"/>
        <v/>
      </c>
      <c r="V220" s="8" t="str">
        <f t="shared" si="51"/>
        <v/>
      </c>
      <c r="W220" s="8" t="str">
        <f t="shared" si="52"/>
        <v/>
      </c>
      <c r="X220" s="8" t="str">
        <f t="shared" si="53"/>
        <v/>
      </c>
      <c r="Y220" s="8" t="str">
        <f t="shared" si="54"/>
        <v/>
      </c>
      <c r="Z220" s="8" t="str">
        <f t="shared" si="55"/>
        <v/>
      </c>
      <c r="AA220" s="8" t="str">
        <f t="shared" si="56"/>
        <v/>
      </c>
      <c r="AB220" s="8" t="str">
        <f t="shared" si="57"/>
        <v/>
      </c>
      <c r="AC220" s="5" t="str">
        <f t="shared" si="58"/>
        <v>,		// 216</v>
      </c>
      <c r="AD220" s="4"/>
      <c r="AE220" s="31" t="str">
        <f t="shared" si="59"/>
        <v>0,		// 216</v>
      </c>
      <c r="AF220" s="4"/>
    </row>
    <row r="221" spans="1:32" x14ac:dyDescent="0.25">
      <c r="A221" s="16">
        <v>217</v>
      </c>
      <c r="B221" s="20"/>
      <c r="C221" s="38"/>
      <c r="D221" s="42">
        <v>0</v>
      </c>
      <c r="E221" s="11">
        <v>0</v>
      </c>
      <c r="F221" s="11">
        <v>0</v>
      </c>
      <c r="G221" s="11">
        <v>0</v>
      </c>
      <c r="H221" s="11">
        <v>0</v>
      </c>
      <c r="I221" s="11">
        <v>0</v>
      </c>
      <c r="J221" s="11">
        <v>0</v>
      </c>
      <c r="K221" s="11">
        <v>0</v>
      </c>
      <c r="L221" s="11">
        <v>0</v>
      </c>
      <c r="M221" s="11">
        <v>0</v>
      </c>
      <c r="N221" s="12">
        <v>0</v>
      </c>
      <c r="O221" s="4"/>
      <c r="P221" s="4">
        <f t="shared" si="45"/>
        <v>0</v>
      </c>
      <c r="Q221" s="4">
        <f t="shared" si="46"/>
        <v>0</v>
      </c>
      <c r="R221" s="4">
        <f t="shared" si="47"/>
        <v>0</v>
      </c>
      <c r="S221" s="8" t="str">
        <f t="shared" si="48"/>
        <v/>
      </c>
      <c r="T221" s="8" t="str">
        <f t="shared" si="49"/>
        <v/>
      </c>
      <c r="U221" s="8" t="str">
        <f t="shared" si="50"/>
        <v/>
      </c>
      <c r="V221" s="8" t="str">
        <f t="shared" si="51"/>
        <v/>
      </c>
      <c r="W221" s="8" t="str">
        <f t="shared" si="52"/>
        <v/>
      </c>
      <c r="X221" s="8" t="str">
        <f t="shared" si="53"/>
        <v/>
      </c>
      <c r="Y221" s="8" t="str">
        <f t="shared" si="54"/>
        <v/>
      </c>
      <c r="Z221" s="8" t="str">
        <f t="shared" si="55"/>
        <v/>
      </c>
      <c r="AA221" s="8" t="str">
        <f t="shared" si="56"/>
        <v/>
      </c>
      <c r="AB221" s="8" t="str">
        <f t="shared" si="57"/>
        <v/>
      </c>
      <c r="AC221" s="5" t="str">
        <f t="shared" si="58"/>
        <v>,		// 217</v>
      </c>
      <c r="AD221" s="4"/>
      <c r="AE221" s="31" t="str">
        <f t="shared" si="59"/>
        <v>0,		// 217</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5"/>
        <v>5</v>
      </c>
      <c r="Q222" s="4">
        <f t="shared" si="46"/>
        <v>0</v>
      </c>
      <c r="R222" s="4">
        <f t="shared" si="47"/>
        <v>5</v>
      </c>
      <c r="S222" s="8" t="str">
        <f t="shared" si="48"/>
        <v>, 255</v>
      </c>
      <c r="T222" s="8" t="str">
        <f t="shared" si="49"/>
        <v>, 255</v>
      </c>
      <c r="U222" s="8" t="str">
        <f t="shared" si="50"/>
        <v>, 255</v>
      </c>
      <c r="V222" s="8" t="str">
        <f t="shared" si="51"/>
        <v>, 255</v>
      </c>
      <c r="W222" s="8" t="str">
        <f t="shared" si="52"/>
        <v>, 255</v>
      </c>
      <c r="X222" s="8" t="str">
        <f t="shared" si="53"/>
        <v/>
      </c>
      <c r="Y222" s="8" t="str">
        <f t="shared" si="54"/>
        <v/>
      </c>
      <c r="Z222" s="8" t="str">
        <f t="shared" si="55"/>
        <v/>
      </c>
      <c r="AA222" s="8" t="str">
        <f t="shared" si="56"/>
        <v/>
      </c>
      <c r="AB222" s="8" t="str">
        <f t="shared" si="57"/>
        <v/>
      </c>
      <c r="AC222" s="5" t="str">
        <f t="shared" si="58"/>
        <v>,		// 218 - 'Full Block'</v>
      </c>
      <c r="AD222" s="4"/>
      <c r="AE222" s="31" t="str">
        <f t="shared" si="59"/>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5"/>
        <v>5</v>
      </c>
      <c r="Q223" s="4">
        <f t="shared" si="46"/>
        <v>0</v>
      </c>
      <c r="R223" s="4">
        <f t="shared" si="47"/>
        <v>5</v>
      </c>
      <c r="S223" s="8" t="str">
        <f t="shared" si="48"/>
        <v>, 240</v>
      </c>
      <c r="T223" s="8" t="str">
        <f t="shared" si="49"/>
        <v>, 240</v>
      </c>
      <c r="U223" s="8" t="str">
        <f t="shared" si="50"/>
        <v>, 240</v>
      </c>
      <c r="V223" s="8" t="str">
        <f t="shared" si="51"/>
        <v>, 240</v>
      </c>
      <c r="W223" s="8" t="str">
        <f t="shared" si="52"/>
        <v>, 240</v>
      </c>
      <c r="X223" s="8" t="str">
        <f t="shared" si="53"/>
        <v/>
      </c>
      <c r="Y223" s="8" t="str">
        <f t="shared" si="54"/>
        <v/>
      </c>
      <c r="Z223" s="8" t="str">
        <f t="shared" si="55"/>
        <v/>
      </c>
      <c r="AA223" s="8" t="str">
        <f t="shared" si="56"/>
        <v/>
      </c>
      <c r="AB223" s="8" t="str">
        <f t="shared" si="57"/>
        <v/>
      </c>
      <c r="AC223" s="5" t="str">
        <f t="shared" si="58"/>
        <v>,		// 219 - 'Half Block Bottom'</v>
      </c>
      <c r="AD223" s="4"/>
      <c r="AE223" s="31" t="str">
        <f t="shared" si="59"/>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5"/>
        <v>3</v>
      </c>
      <c r="Q224" s="4">
        <f t="shared" si="46"/>
        <v>0</v>
      </c>
      <c r="R224" s="4">
        <f t="shared" si="47"/>
        <v>3</v>
      </c>
      <c r="S224" s="8" t="str">
        <f t="shared" si="48"/>
        <v>, 255</v>
      </c>
      <c r="T224" s="8" t="str">
        <f t="shared" si="49"/>
        <v>, 255</v>
      </c>
      <c r="U224" s="8" t="str">
        <f t="shared" si="50"/>
        <v>, 255</v>
      </c>
      <c r="V224" s="8" t="str">
        <f t="shared" si="51"/>
        <v/>
      </c>
      <c r="W224" s="8" t="str">
        <f t="shared" si="52"/>
        <v/>
      </c>
      <c r="X224" s="8" t="str">
        <f t="shared" si="53"/>
        <v/>
      </c>
      <c r="Y224" s="8" t="str">
        <f t="shared" si="54"/>
        <v/>
      </c>
      <c r="Z224" s="8" t="str">
        <f t="shared" si="55"/>
        <v/>
      </c>
      <c r="AA224" s="8" t="str">
        <f t="shared" si="56"/>
        <v/>
      </c>
      <c r="AB224" s="8" t="str">
        <f t="shared" si="57"/>
        <v/>
      </c>
      <c r="AC224" s="5" t="str">
        <f t="shared" si="58"/>
        <v>,		// 220 - 'Half Block LHS'</v>
      </c>
      <c r="AD224" s="4"/>
      <c r="AE224" s="31" t="str">
        <f t="shared" si="59"/>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5"/>
        <v>5</v>
      </c>
      <c r="Q225" s="4">
        <f t="shared" si="46"/>
        <v>0</v>
      </c>
      <c r="R225" s="4">
        <f t="shared" si="47"/>
        <v>5</v>
      </c>
      <c r="S225" s="8" t="str">
        <f t="shared" si="48"/>
        <v>, 0</v>
      </c>
      <c r="T225" s="8" t="str">
        <f t="shared" si="49"/>
        <v>, 0</v>
      </c>
      <c r="U225" s="8" t="str">
        <f t="shared" si="50"/>
        <v>, 0</v>
      </c>
      <c r="V225" s="8" t="str">
        <f t="shared" si="51"/>
        <v>, 255</v>
      </c>
      <c r="W225" s="8" t="str">
        <f t="shared" si="52"/>
        <v>, 255</v>
      </c>
      <c r="X225" s="8" t="str">
        <f t="shared" si="53"/>
        <v/>
      </c>
      <c r="Y225" s="8" t="str">
        <f t="shared" si="54"/>
        <v/>
      </c>
      <c r="Z225" s="8" t="str">
        <f t="shared" si="55"/>
        <v/>
      </c>
      <c r="AA225" s="8" t="str">
        <f t="shared" si="56"/>
        <v/>
      </c>
      <c r="AB225" s="8" t="str">
        <f t="shared" si="57"/>
        <v/>
      </c>
      <c r="AC225" s="5" t="str">
        <f t="shared" si="58"/>
        <v>,		// 221 - 'Half Block RHS'</v>
      </c>
      <c r="AD225" s="4"/>
      <c r="AE225" s="31" t="str">
        <f t="shared" si="59"/>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5"/>
        <v>5</v>
      </c>
      <c r="Q226" s="4">
        <f t="shared" si="46"/>
        <v>0</v>
      </c>
      <c r="R226" s="4">
        <f t="shared" si="47"/>
        <v>5</v>
      </c>
      <c r="S226" s="8" t="str">
        <f t="shared" si="48"/>
        <v>, 15</v>
      </c>
      <c r="T226" s="8" t="str">
        <f t="shared" si="49"/>
        <v>, 15</v>
      </c>
      <c r="U226" s="8" t="str">
        <f t="shared" si="50"/>
        <v>, 15</v>
      </c>
      <c r="V226" s="8" t="str">
        <f t="shared" si="51"/>
        <v>, 15</v>
      </c>
      <c r="W226" s="8" t="str">
        <f t="shared" si="52"/>
        <v>, 15</v>
      </c>
      <c r="X226" s="8" t="str">
        <f t="shared" si="53"/>
        <v/>
      </c>
      <c r="Y226" s="8" t="str">
        <f t="shared" si="54"/>
        <v/>
      </c>
      <c r="Z226" s="8" t="str">
        <f t="shared" si="55"/>
        <v/>
      </c>
      <c r="AA226" s="8" t="str">
        <f t="shared" si="56"/>
        <v/>
      </c>
      <c r="AB226" s="8" t="str">
        <f t="shared" si="57"/>
        <v/>
      </c>
      <c r="AC226" s="5" t="str">
        <f t="shared" si="58"/>
        <v>,		// 222 - 'Half Block Top'</v>
      </c>
      <c r="AD226" s="4"/>
      <c r="AE226" s="31" t="str">
        <f t="shared" si="59"/>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5"/>
        <v>5</v>
      </c>
      <c r="Q227" s="4">
        <f t="shared" si="46"/>
        <v>0</v>
      </c>
      <c r="R227" s="4">
        <f t="shared" si="47"/>
        <v>5</v>
      </c>
      <c r="S227" s="8" t="str">
        <f t="shared" si="48"/>
        <v>, 56</v>
      </c>
      <c r="T227" s="8" t="str">
        <f t="shared" si="49"/>
        <v>, 68</v>
      </c>
      <c r="U227" s="8" t="str">
        <f t="shared" si="50"/>
        <v>, 68</v>
      </c>
      <c r="V227" s="8" t="str">
        <f t="shared" si="51"/>
        <v>, 56</v>
      </c>
      <c r="W227" s="8" t="str">
        <f t="shared" si="52"/>
        <v>, 68</v>
      </c>
      <c r="X227" s="8" t="str">
        <f t="shared" si="53"/>
        <v/>
      </c>
      <c r="Y227" s="8" t="str">
        <f t="shared" si="54"/>
        <v/>
      </c>
      <c r="Z227" s="8" t="str">
        <f t="shared" si="55"/>
        <v/>
      </c>
      <c r="AA227" s="8" t="str">
        <f t="shared" si="56"/>
        <v/>
      </c>
      <c r="AB227" s="8" t="str">
        <f t="shared" si="57"/>
        <v/>
      </c>
      <c r="AC227" s="5" t="str">
        <f t="shared" si="58"/>
        <v>,		// 223 - 'Alpha'</v>
      </c>
      <c r="AD227" s="4"/>
      <c r="AE227" s="31" t="str">
        <f t="shared" si="59"/>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5"/>
        <v>5</v>
      </c>
      <c r="Q228" s="4">
        <f t="shared" si="46"/>
        <v>0</v>
      </c>
      <c r="R228" s="4">
        <f t="shared" si="47"/>
        <v>5</v>
      </c>
      <c r="S228" s="8" t="str">
        <f t="shared" si="48"/>
        <v>, 124</v>
      </c>
      <c r="T228" s="8" t="str">
        <f t="shared" si="49"/>
        <v>, 42</v>
      </c>
      <c r="U228" s="8" t="str">
        <f t="shared" si="50"/>
        <v>, 42</v>
      </c>
      <c r="V228" s="8" t="str">
        <f t="shared" si="51"/>
        <v>, 62</v>
      </c>
      <c r="W228" s="8" t="str">
        <f t="shared" si="52"/>
        <v>, 20</v>
      </c>
      <c r="X228" s="8" t="str">
        <f t="shared" si="53"/>
        <v/>
      </c>
      <c r="Y228" s="8" t="str">
        <f t="shared" si="54"/>
        <v/>
      </c>
      <c r="Z228" s="8" t="str">
        <f t="shared" si="55"/>
        <v/>
      </c>
      <c r="AA228" s="8" t="str">
        <f t="shared" si="56"/>
        <v/>
      </c>
      <c r="AB228" s="8" t="str">
        <f t="shared" si="57"/>
        <v/>
      </c>
      <c r="AC228" s="5" t="str">
        <f t="shared" si="58"/>
        <v>,		// 224 - 'Beta'</v>
      </c>
      <c r="AD228" s="4"/>
      <c r="AE228" s="31" t="str">
        <f t="shared" si="59"/>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5"/>
        <v>5</v>
      </c>
      <c r="Q229" s="4">
        <f t="shared" si="46"/>
        <v>0</v>
      </c>
      <c r="R229" s="4">
        <f t="shared" si="47"/>
        <v>5</v>
      </c>
      <c r="S229" s="8" t="str">
        <f t="shared" si="48"/>
        <v>, 126</v>
      </c>
      <c r="T229" s="8" t="str">
        <f t="shared" si="49"/>
        <v>, 2</v>
      </c>
      <c r="U229" s="8" t="str">
        <f t="shared" si="50"/>
        <v>, 2</v>
      </c>
      <c r="V229" s="8" t="str">
        <f t="shared" si="51"/>
        <v>, 6</v>
      </c>
      <c r="W229" s="8" t="str">
        <f t="shared" si="52"/>
        <v>, 6</v>
      </c>
      <c r="X229" s="8" t="str">
        <f t="shared" si="53"/>
        <v/>
      </c>
      <c r="Y229" s="8" t="str">
        <f t="shared" si="54"/>
        <v/>
      </c>
      <c r="Z229" s="8" t="str">
        <f t="shared" si="55"/>
        <v/>
      </c>
      <c r="AA229" s="8" t="str">
        <f t="shared" si="56"/>
        <v/>
      </c>
      <c r="AB229" s="8" t="str">
        <f t="shared" si="57"/>
        <v/>
      </c>
      <c r="AC229" s="5" t="str">
        <f t="shared" si="58"/>
        <v>,		// 225 - 'Gamma'</v>
      </c>
      <c r="AD229" s="4"/>
      <c r="AE229" s="31" t="str">
        <f t="shared" si="59"/>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5"/>
        <v>5</v>
      </c>
      <c r="Q230" s="4">
        <f t="shared" si="46"/>
        <v>0</v>
      </c>
      <c r="R230" s="4">
        <f t="shared" si="47"/>
        <v>5</v>
      </c>
      <c r="S230" s="8" t="str">
        <f t="shared" si="48"/>
        <v>, 2</v>
      </c>
      <c r="T230" s="8" t="str">
        <f t="shared" si="49"/>
        <v>, 126</v>
      </c>
      <c r="U230" s="8" t="str">
        <f t="shared" si="50"/>
        <v>, 2</v>
      </c>
      <c r="V230" s="8" t="str">
        <f t="shared" si="51"/>
        <v>, 126</v>
      </c>
      <c r="W230" s="8" t="str">
        <f t="shared" si="52"/>
        <v>, 2</v>
      </c>
      <c r="X230" s="8" t="str">
        <f t="shared" si="53"/>
        <v/>
      </c>
      <c r="Y230" s="8" t="str">
        <f t="shared" si="54"/>
        <v/>
      </c>
      <c r="Z230" s="8" t="str">
        <f t="shared" si="55"/>
        <v/>
      </c>
      <c r="AA230" s="8" t="str">
        <f t="shared" si="56"/>
        <v/>
      </c>
      <c r="AB230" s="8" t="str">
        <f t="shared" si="57"/>
        <v/>
      </c>
      <c r="AC230" s="5" t="str">
        <f t="shared" si="58"/>
        <v>,		// 226 - 'Pi'</v>
      </c>
      <c r="AD230" s="4"/>
      <c r="AE230" s="31" t="str">
        <f t="shared" si="59"/>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5"/>
        <v>5</v>
      </c>
      <c r="Q231" s="4">
        <f t="shared" si="46"/>
        <v>0</v>
      </c>
      <c r="R231" s="4">
        <f t="shared" si="47"/>
        <v>5</v>
      </c>
      <c r="S231" s="8" t="str">
        <f t="shared" si="48"/>
        <v>, 99</v>
      </c>
      <c r="T231" s="8" t="str">
        <f t="shared" si="49"/>
        <v>, 85</v>
      </c>
      <c r="U231" s="8" t="str">
        <f t="shared" si="50"/>
        <v>, 73</v>
      </c>
      <c r="V231" s="8" t="str">
        <f t="shared" si="51"/>
        <v>, 65</v>
      </c>
      <c r="W231" s="8" t="str">
        <f t="shared" si="52"/>
        <v>, 99</v>
      </c>
      <c r="X231" s="8" t="str">
        <f t="shared" si="53"/>
        <v/>
      </c>
      <c r="Y231" s="8" t="str">
        <f t="shared" si="54"/>
        <v/>
      </c>
      <c r="Z231" s="8" t="str">
        <f t="shared" si="55"/>
        <v/>
      </c>
      <c r="AA231" s="8" t="str">
        <f t="shared" si="56"/>
        <v/>
      </c>
      <c r="AB231" s="8" t="str">
        <f t="shared" si="57"/>
        <v/>
      </c>
      <c r="AC231" s="5" t="str">
        <f t="shared" si="58"/>
        <v>,		// 227 - 'Sigma'</v>
      </c>
      <c r="AD231" s="4"/>
      <c r="AE231" s="31" t="str">
        <f t="shared" si="59"/>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5"/>
        <v>5</v>
      </c>
      <c r="Q232" s="4">
        <f t="shared" si="46"/>
        <v>0</v>
      </c>
      <c r="R232" s="4">
        <f t="shared" si="47"/>
        <v>5</v>
      </c>
      <c r="S232" s="8" t="str">
        <f t="shared" si="48"/>
        <v>, 56</v>
      </c>
      <c r="T232" s="8" t="str">
        <f t="shared" si="49"/>
        <v>, 68</v>
      </c>
      <c r="U232" s="8" t="str">
        <f t="shared" si="50"/>
        <v>, 68</v>
      </c>
      <c r="V232" s="8" t="str">
        <f t="shared" si="51"/>
        <v>, 60</v>
      </c>
      <c r="W232" s="8" t="str">
        <f t="shared" si="52"/>
        <v>, 4</v>
      </c>
      <c r="X232" s="8" t="str">
        <f t="shared" si="53"/>
        <v/>
      </c>
      <c r="Y232" s="8" t="str">
        <f t="shared" si="54"/>
        <v/>
      </c>
      <c r="Z232" s="8" t="str">
        <f t="shared" si="55"/>
        <v/>
      </c>
      <c r="AA232" s="8" t="str">
        <f t="shared" si="56"/>
        <v/>
      </c>
      <c r="AB232" s="8" t="str">
        <f t="shared" si="57"/>
        <v/>
      </c>
      <c r="AC232" s="5" t="str">
        <f t="shared" si="58"/>
        <v>,		// 228 - 'Theta'</v>
      </c>
      <c r="AD232" s="4"/>
      <c r="AE232" s="31" t="str">
        <f t="shared" si="59"/>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5"/>
        <v>5</v>
      </c>
      <c r="Q233" s="4">
        <f t="shared" si="46"/>
        <v>0</v>
      </c>
      <c r="R233" s="4">
        <f t="shared" si="47"/>
        <v>5</v>
      </c>
      <c r="S233" s="8" t="str">
        <f t="shared" si="48"/>
        <v>, 64</v>
      </c>
      <c r="T233" s="8" t="str">
        <f t="shared" si="49"/>
        <v>, 126</v>
      </c>
      <c r="U233" s="8" t="str">
        <f t="shared" si="50"/>
        <v>, 32</v>
      </c>
      <c r="V233" s="8" t="str">
        <f t="shared" si="51"/>
        <v>, 30</v>
      </c>
      <c r="W233" s="8" t="str">
        <f t="shared" si="52"/>
        <v>, 32</v>
      </c>
      <c r="X233" s="8" t="str">
        <f t="shared" si="53"/>
        <v/>
      </c>
      <c r="Y233" s="8" t="str">
        <f t="shared" si="54"/>
        <v/>
      </c>
      <c r="Z233" s="8" t="str">
        <f t="shared" si="55"/>
        <v/>
      </c>
      <c r="AA233" s="8" t="str">
        <f t="shared" si="56"/>
        <v/>
      </c>
      <c r="AB233" s="8" t="str">
        <f t="shared" si="57"/>
        <v/>
      </c>
      <c r="AC233" s="5" t="str">
        <f t="shared" si="58"/>
        <v>,		// 229 - 'mu'</v>
      </c>
      <c r="AD233" s="4"/>
      <c r="AE233" s="31" t="str">
        <f t="shared" si="59"/>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5"/>
        <v>5</v>
      </c>
      <c r="Q234" s="4">
        <f t="shared" si="46"/>
        <v>0</v>
      </c>
      <c r="R234" s="4">
        <f t="shared" si="47"/>
        <v>5</v>
      </c>
      <c r="S234" s="8" t="str">
        <f t="shared" si="48"/>
        <v>, 6</v>
      </c>
      <c r="T234" s="8" t="str">
        <f t="shared" si="49"/>
        <v>, 2</v>
      </c>
      <c r="U234" s="8" t="str">
        <f t="shared" si="50"/>
        <v>, 126</v>
      </c>
      <c r="V234" s="8" t="str">
        <f t="shared" si="51"/>
        <v>, 2</v>
      </c>
      <c r="W234" s="8" t="str">
        <f t="shared" si="52"/>
        <v>, 2</v>
      </c>
      <c r="X234" s="8" t="str">
        <f t="shared" si="53"/>
        <v/>
      </c>
      <c r="Y234" s="8" t="str">
        <f t="shared" si="54"/>
        <v/>
      </c>
      <c r="Z234" s="8" t="str">
        <f t="shared" si="55"/>
        <v/>
      </c>
      <c r="AA234" s="8" t="str">
        <f t="shared" si="56"/>
        <v/>
      </c>
      <c r="AB234" s="8" t="str">
        <f t="shared" si="57"/>
        <v/>
      </c>
      <c r="AC234" s="5" t="str">
        <f t="shared" si="58"/>
        <v>,		// 230 - 'Tau'</v>
      </c>
      <c r="AD234" s="4"/>
      <c r="AE234" s="31" t="str">
        <f t="shared" si="59"/>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5"/>
        <v>5</v>
      </c>
      <c r="Q235" s="4">
        <f t="shared" si="46"/>
        <v>0</v>
      </c>
      <c r="R235" s="4">
        <f t="shared" si="47"/>
        <v>5</v>
      </c>
      <c r="S235" s="8" t="str">
        <f t="shared" si="48"/>
        <v>, 153</v>
      </c>
      <c r="T235" s="8" t="str">
        <f t="shared" si="49"/>
        <v>, 165</v>
      </c>
      <c r="U235" s="8" t="str">
        <f t="shared" si="50"/>
        <v>, 231</v>
      </c>
      <c r="V235" s="8" t="str">
        <f t="shared" si="51"/>
        <v>, 165</v>
      </c>
      <c r="W235" s="8" t="str">
        <f t="shared" si="52"/>
        <v>, 153</v>
      </c>
      <c r="X235" s="8" t="str">
        <f t="shared" si="53"/>
        <v/>
      </c>
      <c r="Y235" s="8" t="str">
        <f t="shared" si="54"/>
        <v/>
      </c>
      <c r="Z235" s="8" t="str">
        <f t="shared" si="55"/>
        <v/>
      </c>
      <c r="AA235" s="8" t="str">
        <f t="shared" si="56"/>
        <v/>
      </c>
      <c r="AB235" s="8" t="str">
        <f t="shared" si="57"/>
        <v/>
      </c>
      <c r="AC235" s="5" t="str">
        <f t="shared" si="58"/>
        <v>,		// 231</v>
      </c>
      <c r="AD235" s="4"/>
      <c r="AE235" s="31" t="str">
        <f t="shared" si="59"/>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5"/>
        <v>5</v>
      </c>
      <c r="Q236" s="4">
        <f t="shared" si="46"/>
        <v>0</v>
      </c>
      <c r="R236" s="4">
        <f t="shared" si="47"/>
        <v>5</v>
      </c>
      <c r="S236" s="8" t="str">
        <f t="shared" si="48"/>
        <v>, 28</v>
      </c>
      <c r="T236" s="8" t="str">
        <f t="shared" si="49"/>
        <v>, 42</v>
      </c>
      <c r="U236" s="8" t="str">
        <f t="shared" si="50"/>
        <v>, 73</v>
      </c>
      <c r="V236" s="8" t="str">
        <f t="shared" si="51"/>
        <v>, 42</v>
      </c>
      <c r="W236" s="8" t="str">
        <f t="shared" si="52"/>
        <v>, 28</v>
      </c>
      <c r="X236" s="8" t="str">
        <f t="shared" si="53"/>
        <v/>
      </c>
      <c r="Y236" s="8" t="str">
        <f t="shared" si="54"/>
        <v/>
      </c>
      <c r="Z236" s="8" t="str">
        <f t="shared" si="55"/>
        <v/>
      </c>
      <c r="AA236" s="8" t="str">
        <f t="shared" si="56"/>
        <v/>
      </c>
      <c r="AB236" s="8" t="str">
        <f t="shared" si="57"/>
        <v/>
      </c>
      <c r="AC236" s="5" t="str">
        <f t="shared" si="58"/>
        <v>,		// 232</v>
      </c>
      <c r="AD236" s="4"/>
      <c r="AE236" s="31" t="str">
        <f t="shared" si="59"/>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5"/>
        <v>5</v>
      </c>
      <c r="Q237" s="4">
        <f t="shared" si="46"/>
        <v>0</v>
      </c>
      <c r="R237" s="4">
        <f t="shared" si="47"/>
        <v>5</v>
      </c>
      <c r="S237" s="8" t="str">
        <f t="shared" si="48"/>
        <v>, 76</v>
      </c>
      <c r="T237" s="8" t="str">
        <f t="shared" si="49"/>
        <v>, 114</v>
      </c>
      <c r="U237" s="8" t="str">
        <f t="shared" si="50"/>
        <v>, 1</v>
      </c>
      <c r="V237" s="8" t="str">
        <f t="shared" si="51"/>
        <v>, 114</v>
      </c>
      <c r="W237" s="8" t="str">
        <f t="shared" si="52"/>
        <v>, 76</v>
      </c>
      <c r="X237" s="8" t="str">
        <f t="shared" si="53"/>
        <v/>
      </c>
      <c r="Y237" s="8" t="str">
        <f t="shared" si="54"/>
        <v/>
      </c>
      <c r="Z237" s="8" t="str">
        <f t="shared" si="55"/>
        <v/>
      </c>
      <c r="AA237" s="8" t="str">
        <f t="shared" si="56"/>
        <v/>
      </c>
      <c r="AB237" s="8" t="str">
        <f t="shared" si="57"/>
        <v/>
      </c>
      <c r="AC237" s="5" t="str">
        <f t="shared" si="58"/>
        <v>,		// 233</v>
      </c>
      <c r="AD237" s="4"/>
      <c r="AE237" s="31" t="str">
        <f t="shared" si="59"/>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5"/>
        <v>5</v>
      </c>
      <c r="Q238" s="4">
        <f t="shared" si="46"/>
        <v>0</v>
      </c>
      <c r="R238" s="4">
        <f t="shared" si="47"/>
        <v>5</v>
      </c>
      <c r="S238" s="8" t="str">
        <f t="shared" si="48"/>
        <v>, 48</v>
      </c>
      <c r="T238" s="8" t="str">
        <f t="shared" si="49"/>
        <v>, 74</v>
      </c>
      <c r="U238" s="8" t="str">
        <f t="shared" si="50"/>
        <v>, 77</v>
      </c>
      <c r="V238" s="8" t="str">
        <f t="shared" si="51"/>
        <v>, 77</v>
      </c>
      <c r="W238" s="8" t="str">
        <f t="shared" si="52"/>
        <v>, 48</v>
      </c>
      <c r="X238" s="8" t="str">
        <f t="shared" si="53"/>
        <v/>
      </c>
      <c r="Y238" s="8" t="str">
        <f t="shared" si="54"/>
        <v/>
      </c>
      <c r="Z238" s="8" t="str">
        <f t="shared" si="55"/>
        <v/>
      </c>
      <c r="AA238" s="8" t="str">
        <f t="shared" si="56"/>
        <v/>
      </c>
      <c r="AB238" s="8" t="str">
        <f t="shared" si="57"/>
        <v/>
      </c>
      <c r="AC238" s="5" t="str">
        <f t="shared" si="58"/>
        <v>,		// 234</v>
      </c>
      <c r="AD238" s="4"/>
      <c r="AE238" s="31" t="str">
        <f t="shared" si="59"/>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5"/>
        <v>5</v>
      </c>
      <c r="Q239" s="4">
        <f t="shared" si="46"/>
        <v>0</v>
      </c>
      <c r="R239" s="4">
        <f t="shared" si="47"/>
        <v>5</v>
      </c>
      <c r="S239" s="8" t="str">
        <f t="shared" si="48"/>
        <v>, 48</v>
      </c>
      <c r="T239" s="8" t="str">
        <f t="shared" si="49"/>
        <v>, 72</v>
      </c>
      <c r="U239" s="8" t="str">
        <f t="shared" si="50"/>
        <v>, 120</v>
      </c>
      <c r="V239" s="8" t="str">
        <f t="shared" si="51"/>
        <v>, 72</v>
      </c>
      <c r="W239" s="8" t="str">
        <f t="shared" si="52"/>
        <v>, 48</v>
      </c>
      <c r="X239" s="8" t="str">
        <f t="shared" si="53"/>
        <v/>
      </c>
      <c r="Y239" s="8" t="str">
        <f t="shared" si="54"/>
        <v/>
      </c>
      <c r="Z239" s="8" t="str">
        <f t="shared" si="55"/>
        <v/>
      </c>
      <c r="AA239" s="8" t="str">
        <f t="shared" si="56"/>
        <v/>
      </c>
      <c r="AB239" s="8" t="str">
        <f t="shared" si="57"/>
        <v/>
      </c>
      <c r="AC239" s="5" t="str">
        <f t="shared" si="58"/>
        <v>,		// 235</v>
      </c>
      <c r="AD239" s="4"/>
      <c r="AE239" s="31" t="str">
        <f t="shared" si="59"/>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5"/>
        <v>5</v>
      </c>
      <c r="Q240" s="4">
        <f t="shared" si="46"/>
        <v>0</v>
      </c>
      <c r="R240" s="4">
        <f t="shared" si="47"/>
        <v>5</v>
      </c>
      <c r="S240" s="8" t="str">
        <f t="shared" si="48"/>
        <v>, 188</v>
      </c>
      <c r="T240" s="8" t="str">
        <f t="shared" si="49"/>
        <v>, 98</v>
      </c>
      <c r="U240" s="8" t="str">
        <f t="shared" si="50"/>
        <v>, 90</v>
      </c>
      <c r="V240" s="8" t="str">
        <f t="shared" si="51"/>
        <v>, 70</v>
      </c>
      <c r="W240" s="8" t="str">
        <f t="shared" si="52"/>
        <v>, 61</v>
      </c>
      <c r="X240" s="8" t="str">
        <f t="shared" si="53"/>
        <v/>
      </c>
      <c r="Y240" s="8" t="str">
        <f t="shared" si="54"/>
        <v/>
      </c>
      <c r="Z240" s="8" t="str">
        <f t="shared" si="55"/>
        <v/>
      </c>
      <c r="AA240" s="8" t="str">
        <f t="shared" si="56"/>
        <v/>
      </c>
      <c r="AB240" s="8" t="str">
        <f t="shared" si="57"/>
        <v/>
      </c>
      <c r="AC240" s="5" t="str">
        <f t="shared" si="58"/>
        <v>,		// 236 - 'Zero Slashed'</v>
      </c>
      <c r="AD240" s="4"/>
      <c r="AE240" s="31" t="str">
        <f t="shared" si="59"/>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5"/>
        <v>4</v>
      </c>
      <c r="Q241" s="4">
        <f t="shared" si="46"/>
        <v>0</v>
      </c>
      <c r="R241" s="4">
        <f t="shared" si="47"/>
        <v>4</v>
      </c>
      <c r="S241" s="8" t="str">
        <f t="shared" si="48"/>
        <v>, 62</v>
      </c>
      <c r="T241" s="8" t="str">
        <f t="shared" si="49"/>
        <v>, 73</v>
      </c>
      <c r="U241" s="8" t="str">
        <f t="shared" si="50"/>
        <v>, 73</v>
      </c>
      <c r="V241" s="8" t="str">
        <f t="shared" si="51"/>
        <v>, 73</v>
      </c>
      <c r="W241" s="8" t="str">
        <f t="shared" si="52"/>
        <v/>
      </c>
      <c r="X241" s="8" t="str">
        <f t="shared" si="53"/>
        <v/>
      </c>
      <c r="Y241" s="8" t="str">
        <f t="shared" si="54"/>
        <v/>
      </c>
      <c r="Z241" s="8" t="str">
        <f t="shared" si="55"/>
        <v/>
      </c>
      <c r="AA241" s="8" t="str">
        <f t="shared" si="56"/>
        <v/>
      </c>
      <c r="AB241" s="8" t="str">
        <f t="shared" si="57"/>
        <v/>
      </c>
      <c r="AC241" s="5" t="str">
        <f t="shared" si="58"/>
        <v>,		// 237</v>
      </c>
      <c r="AD241" s="4"/>
      <c r="AE241" s="31" t="str">
        <f t="shared" si="59"/>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5"/>
        <v>5</v>
      </c>
      <c r="Q242" s="4">
        <f t="shared" si="46"/>
        <v>0</v>
      </c>
      <c r="R242" s="4">
        <f t="shared" si="47"/>
        <v>5</v>
      </c>
      <c r="S242" s="8" t="str">
        <f t="shared" si="48"/>
        <v>, 126</v>
      </c>
      <c r="T242" s="8" t="str">
        <f t="shared" si="49"/>
        <v>, 1</v>
      </c>
      <c r="U242" s="8" t="str">
        <f t="shared" si="50"/>
        <v>, 1</v>
      </c>
      <c r="V242" s="8" t="str">
        <f t="shared" si="51"/>
        <v>, 1</v>
      </c>
      <c r="W242" s="8" t="str">
        <f t="shared" si="52"/>
        <v>, 126</v>
      </c>
      <c r="X242" s="8" t="str">
        <f t="shared" si="53"/>
        <v/>
      </c>
      <c r="Y242" s="8" t="str">
        <f t="shared" si="54"/>
        <v/>
      </c>
      <c r="Z242" s="8" t="str">
        <f t="shared" si="55"/>
        <v/>
      </c>
      <c r="AA242" s="8" t="str">
        <f t="shared" si="56"/>
        <v/>
      </c>
      <c r="AB242" s="8" t="str">
        <f t="shared" si="57"/>
        <v/>
      </c>
      <c r="AC242" s="5" t="str">
        <f t="shared" si="58"/>
        <v>,		// 238</v>
      </c>
      <c r="AD242" s="4"/>
      <c r="AE242" s="31" t="str">
        <f t="shared" si="59"/>
        <v>5, 126, 1, 1, 1, 126,		// 238</v>
      </c>
      <c r="AF242" s="4"/>
    </row>
    <row r="243" spans="1:32" x14ac:dyDescent="0.25">
      <c r="A243" s="16">
        <v>239</v>
      </c>
      <c r="B243" s="20"/>
      <c r="C243" s="38" t="s">
        <v>226</v>
      </c>
      <c r="D243" s="42">
        <v>0</v>
      </c>
      <c r="E243" s="11">
        <v>42</v>
      </c>
      <c r="F243" s="11">
        <v>42</v>
      </c>
      <c r="G243" s="11">
        <v>42</v>
      </c>
      <c r="H243" s="11">
        <v>42</v>
      </c>
      <c r="I243" s="11">
        <v>0</v>
      </c>
      <c r="J243" s="11">
        <v>0</v>
      </c>
      <c r="K243" s="11">
        <v>0</v>
      </c>
      <c r="L243" s="11">
        <v>0</v>
      </c>
      <c r="M243" s="11">
        <v>0</v>
      </c>
      <c r="N243" s="12">
        <v>0</v>
      </c>
      <c r="O243" s="4"/>
      <c r="P243" s="4">
        <f t="shared" si="45"/>
        <v>4</v>
      </c>
      <c r="Q243" s="4">
        <f t="shared" si="46"/>
        <v>0</v>
      </c>
      <c r="R243" s="4">
        <f t="shared" si="47"/>
        <v>4</v>
      </c>
      <c r="S243" s="8" t="str">
        <f t="shared" si="48"/>
        <v>, 42</v>
      </c>
      <c r="T243" s="8" t="str">
        <f t="shared" si="49"/>
        <v>, 42</v>
      </c>
      <c r="U243" s="8" t="str">
        <f t="shared" si="50"/>
        <v>, 42</v>
      </c>
      <c r="V243" s="8" t="str">
        <f t="shared" si="51"/>
        <v>, 42</v>
      </c>
      <c r="W243" s="8" t="str">
        <f t="shared" si="52"/>
        <v/>
      </c>
      <c r="X243" s="8" t="str">
        <f t="shared" si="53"/>
        <v/>
      </c>
      <c r="Y243" s="8" t="str">
        <f t="shared" si="54"/>
        <v/>
      </c>
      <c r="Z243" s="8" t="str">
        <f t="shared" si="55"/>
        <v/>
      </c>
      <c r="AA243" s="8" t="str">
        <f t="shared" si="56"/>
        <v/>
      </c>
      <c r="AB243" s="8" t="str">
        <f t="shared" si="57"/>
        <v/>
      </c>
      <c r="AC243" s="5" t="str">
        <f t="shared" si="58"/>
        <v>,		// 239 - '3 Bar Equals'</v>
      </c>
      <c r="AD243" s="4"/>
      <c r="AE243" s="31" t="str">
        <f t="shared" si="59"/>
        <v>4, 42, 42, 42, 42,		// 239 - '3 Bar Equals'</v>
      </c>
      <c r="AF243" s="4"/>
    </row>
    <row r="244" spans="1:32" x14ac:dyDescent="0.25">
      <c r="A244" s="16">
        <v>240</v>
      </c>
      <c r="B244" s="20"/>
      <c r="C244" s="38" t="s">
        <v>225</v>
      </c>
      <c r="D244" s="42">
        <v>0</v>
      </c>
      <c r="E244" s="11">
        <v>36</v>
      </c>
      <c r="F244" s="11">
        <v>46</v>
      </c>
      <c r="G244" s="11">
        <v>36</v>
      </c>
      <c r="H244" s="11">
        <v>0</v>
      </c>
      <c r="I244" s="11">
        <v>0</v>
      </c>
      <c r="J244" s="11">
        <v>0</v>
      </c>
      <c r="K244" s="11">
        <v>0</v>
      </c>
      <c r="L244" s="11">
        <v>0</v>
      </c>
      <c r="M244" s="11">
        <v>0</v>
      </c>
      <c r="N244" s="12">
        <v>0</v>
      </c>
      <c r="O244" s="4"/>
      <c r="P244" s="4">
        <f t="shared" si="45"/>
        <v>3</v>
      </c>
      <c r="Q244" s="4">
        <f t="shared" si="46"/>
        <v>0</v>
      </c>
      <c r="R244" s="4">
        <f t="shared" si="47"/>
        <v>3</v>
      </c>
      <c r="S244" s="8" t="str">
        <f t="shared" si="48"/>
        <v>, 36</v>
      </c>
      <c r="T244" s="8" t="str">
        <f t="shared" si="49"/>
        <v>, 46</v>
      </c>
      <c r="U244" s="8" t="str">
        <f t="shared" si="50"/>
        <v>, 36</v>
      </c>
      <c r="V244" s="8" t="str">
        <f t="shared" si="51"/>
        <v/>
      </c>
      <c r="W244" s="8" t="str">
        <f t="shared" si="52"/>
        <v/>
      </c>
      <c r="X244" s="8" t="str">
        <f t="shared" si="53"/>
        <v/>
      </c>
      <c r="Y244" s="8" t="str">
        <f t="shared" si="54"/>
        <v/>
      </c>
      <c r="Z244" s="8" t="str">
        <f t="shared" si="55"/>
        <v/>
      </c>
      <c r="AA244" s="8" t="str">
        <f t="shared" si="56"/>
        <v/>
      </c>
      <c r="AB244" s="8" t="str">
        <f t="shared" si="57"/>
        <v/>
      </c>
      <c r="AC244" s="5" t="str">
        <f t="shared" si="58"/>
        <v>,		// 240 - '+/-'</v>
      </c>
      <c r="AD244" s="4"/>
      <c r="AE244" s="31" t="str">
        <f t="shared" si="59"/>
        <v>3, 36, 46, 36,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5"/>
        <v>5</v>
      </c>
      <c r="Q245" s="4">
        <f t="shared" si="46"/>
        <v>0</v>
      </c>
      <c r="R245" s="4">
        <f t="shared" si="47"/>
        <v>5</v>
      </c>
      <c r="S245" s="8" t="str">
        <f t="shared" si="48"/>
        <v>, 64</v>
      </c>
      <c r="T245" s="8" t="str">
        <f t="shared" si="49"/>
        <v>, 81</v>
      </c>
      <c r="U245" s="8" t="str">
        <f t="shared" si="50"/>
        <v>, 74</v>
      </c>
      <c r="V245" s="8" t="str">
        <f t="shared" si="51"/>
        <v>, 68</v>
      </c>
      <c r="W245" s="8" t="str">
        <f t="shared" si="52"/>
        <v>, 64</v>
      </c>
      <c r="X245" s="8" t="str">
        <f t="shared" si="53"/>
        <v/>
      </c>
      <c r="Y245" s="8" t="str">
        <f t="shared" si="54"/>
        <v/>
      </c>
      <c r="Z245" s="8" t="str">
        <f t="shared" si="55"/>
        <v/>
      </c>
      <c r="AA245" s="8" t="str">
        <f t="shared" si="56"/>
        <v/>
      </c>
      <c r="AB245" s="8" t="str">
        <f t="shared" si="57"/>
        <v/>
      </c>
      <c r="AC245" s="5" t="str">
        <f t="shared" si="58"/>
        <v>,		// 241 - '&gt;='</v>
      </c>
      <c r="AD245" s="4"/>
      <c r="AE245" s="31" t="str">
        <f t="shared" si="59"/>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5"/>
        <v>5</v>
      </c>
      <c r="Q246" s="4">
        <f t="shared" si="46"/>
        <v>0</v>
      </c>
      <c r="R246" s="4">
        <f t="shared" si="47"/>
        <v>5</v>
      </c>
      <c r="S246" s="8" t="str">
        <f t="shared" si="48"/>
        <v>, 64</v>
      </c>
      <c r="T246" s="8" t="str">
        <f t="shared" si="49"/>
        <v>, 68</v>
      </c>
      <c r="U246" s="8" t="str">
        <f t="shared" si="50"/>
        <v>, 74</v>
      </c>
      <c r="V246" s="8" t="str">
        <f t="shared" si="51"/>
        <v>, 81</v>
      </c>
      <c r="W246" s="8" t="str">
        <f t="shared" si="52"/>
        <v>, 64</v>
      </c>
      <c r="X246" s="8" t="str">
        <f t="shared" si="53"/>
        <v/>
      </c>
      <c r="Y246" s="8" t="str">
        <f t="shared" si="54"/>
        <v/>
      </c>
      <c r="Z246" s="8" t="str">
        <f t="shared" si="55"/>
        <v/>
      </c>
      <c r="AA246" s="8" t="str">
        <f t="shared" si="56"/>
        <v/>
      </c>
      <c r="AB246" s="8" t="str">
        <f t="shared" si="57"/>
        <v/>
      </c>
      <c r="AC246" s="5" t="str">
        <f t="shared" si="58"/>
        <v>,		// 242 - '&lt;='</v>
      </c>
      <c r="AD246" s="4"/>
      <c r="AE246" s="31" t="str">
        <f t="shared" si="59"/>
        <v>5, 64, 68, 74, 81, 64,		// 242 - '&lt;='</v>
      </c>
      <c r="AF246" s="4"/>
    </row>
    <row r="247" spans="1:32" x14ac:dyDescent="0.25">
      <c r="A247" s="16">
        <v>243</v>
      </c>
      <c r="B247" s="20"/>
      <c r="C247" s="38"/>
      <c r="D247" s="42">
        <v>0</v>
      </c>
      <c r="E247" s="11">
        <v>0</v>
      </c>
      <c r="F247" s="11">
        <v>0</v>
      </c>
      <c r="G247" s="11">
        <v>0</v>
      </c>
      <c r="H247" s="11">
        <v>0</v>
      </c>
      <c r="I247" s="11">
        <v>0</v>
      </c>
      <c r="J247" s="11">
        <v>0</v>
      </c>
      <c r="K247" s="11">
        <v>0</v>
      </c>
      <c r="L247" s="11">
        <v>0</v>
      </c>
      <c r="M247" s="11">
        <v>0</v>
      </c>
      <c r="N247" s="12">
        <v>0</v>
      </c>
      <c r="O247" s="4"/>
      <c r="P247" s="4">
        <f t="shared" si="45"/>
        <v>0</v>
      </c>
      <c r="Q247" s="4">
        <f t="shared" si="46"/>
        <v>0</v>
      </c>
      <c r="R247" s="4">
        <f t="shared" si="47"/>
        <v>0</v>
      </c>
      <c r="S247" s="8" t="str">
        <f t="shared" si="48"/>
        <v/>
      </c>
      <c r="T247" s="8" t="str">
        <f t="shared" si="49"/>
        <v/>
      </c>
      <c r="U247" s="8" t="str">
        <f t="shared" si="50"/>
        <v/>
      </c>
      <c r="V247" s="8" t="str">
        <f t="shared" si="51"/>
        <v/>
      </c>
      <c r="W247" s="8" t="str">
        <f t="shared" si="52"/>
        <v/>
      </c>
      <c r="X247" s="8" t="str">
        <f t="shared" si="53"/>
        <v/>
      </c>
      <c r="Y247" s="8" t="str">
        <f t="shared" si="54"/>
        <v/>
      </c>
      <c r="Z247" s="8" t="str">
        <f t="shared" si="55"/>
        <v/>
      </c>
      <c r="AA247" s="8" t="str">
        <f t="shared" si="56"/>
        <v/>
      </c>
      <c r="AB247" s="8" t="str">
        <f t="shared" si="57"/>
        <v/>
      </c>
      <c r="AC247" s="5" t="str">
        <f t="shared" si="58"/>
        <v>,		// 243</v>
      </c>
      <c r="AD247" s="4"/>
      <c r="AE247" s="31" t="str">
        <f t="shared" si="59"/>
        <v>0,		// 243</v>
      </c>
      <c r="AF247" s="4"/>
    </row>
    <row r="248" spans="1:32" x14ac:dyDescent="0.25">
      <c r="A248" s="16">
        <v>244</v>
      </c>
      <c r="B248" s="20"/>
      <c r="C248" s="38"/>
      <c r="D248" s="42">
        <v>0</v>
      </c>
      <c r="E248" s="11">
        <v>0</v>
      </c>
      <c r="F248" s="11">
        <v>0</v>
      </c>
      <c r="G248" s="11">
        <v>0</v>
      </c>
      <c r="H248" s="11">
        <v>0</v>
      </c>
      <c r="I248" s="11">
        <v>0</v>
      </c>
      <c r="J248" s="11">
        <v>0</v>
      </c>
      <c r="K248" s="11">
        <v>0</v>
      </c>
      <c r="L248" s="11">
        <v>0</v>
      </c>
      <c r="M248" s="11">
        <v>0</v>
      </c>
      <c r="N248" s="12">
        <v>0</v>
      </c>
      <c r="O248" s="4"/>
      <c r="P248" s="4">
        <f t="shared" si="45"/>
        <v>0</v>
      </c>
      <c r="Q248" s="4">
        <f t="shared" si="46"/>
        <v>0</v>
      </c>
      <c r="R248" s="4">
        <f t="shared" si="47"/>
        <v>0</v>
      </c>
      <c r="S248" s="8" t="str">
        <f t="shared" si="48"/>
        <v/>
      </c>
      <c r="T248" s="8" t="str">
        <f t="shared" si="49"/>
        <v/>
      </c>
      <c r="U248" s="8" t="str">
        <f t="shared" si="50"/>
        <v/>
      </c>
      <c r="V248" s="8" t="str">
        <f t="shared" si="51"/>
        <v/>
      </c>
      <c r="W248" s="8" t="str">
        <f t="shared" si="52"/>
        <v/>
      </c>
      <c r="X248" s="8" t="str">
        <f t="shared" si="53"/>
        <v/>
      </c>
      <c r="Y248" s="8" t="str">
        <f t="shared" si="54"/>
        <v/>
      </c>
      <c r="Z248" s="8" t="str">
        <f t="shared" si="55"/>
        <v/>
      </c>
      <c r="AA248" s="8" t="str">
        <f t="shared" si="56"/>
        <v/>
      </c>
      <c r="AB248" s="8" t="str">
        <f t="shared" si="57"/>
        <v/>
      </c>
      <c r="AC248" s="5" t="str">
        <f t="shared" si="58"/>
        <v>,		// 244</v>
      </c>
      <c r="AD248" s="4"/>
      <c r="AE248" s="31" t="str">
        <f t="shared" si="59"/>
        <v>0,		// 244</v>
      </c>
      <c r="AF248" s="4"/>
    </row>
    <row r="249" spans="1:32" x14ac:dyDescent="0.25">
      <c r="A249" s="16">
        <v>245</v>
      </c>
      <c r="B249" s="20"/>
      <c r="C249" s="38" t="s">
        <v>231</v>
      </c>
      <c r="D249" s="42">
        <v>0</v>
      </c>
      <c r="E249" s="11">
        <v>8</v>
      </c>
      <c r="F249" s="11">
        <v>8</v>
      </c>
      <c r="G249" s="11">
        <v>107</v>
      </c>
      <c r="H249" s="11">
        <v>107</v>
      </c>
      <c r="I249" s="11">
        <v>8</v>
      </c>
      <c r="J249" s="11">
        <v>8</v>
      </c>
      <c r="K249" s="11">
        <v>0</v>
      </c>
      <c r="L249" s="11">
        <v>0</v>
      </c>
      <c r="M249" s="11">
        <v>0</v>
      </c>
      <c r="N249" s="12">
        <v>0</v>
      </c>
      <c r="O249" s="4"/>
      <c r="P249" s="4">
        <f t="shared" si="45"/>
        <v>6</v>
      </c>
      <c r="Q249" s="4">
        <f t="shared" si="46"/>
        <v>0</v>
      </c>
      <c r="R249" s="4">
        <f t="shared" si="47"/>
        <v>6</v>
      </c>
      <c r="S249" s="8" t="str">
        <f t="shared" si="48"/>
        <v>, 8</v>
      </c>
      <c r="T249" s="8" t="str">
        <f t="shared" si="49"/>
        <v>, 8</v>
      </c>
      <c r="U249" s="8" t="str">
        <f t="shared" si="50"/>
        <v>, 107</v>
      </c>
      <c r="V249" s="8" t="str">
        <f t="shared" si="51"/>
        <v>, 107</v>
      </c>
      <c r="W249" s="8" t="str">
        <f t="shared" si="52"/>
        <v>, 8</v>
      </c>
      <c r="X249" s="8" t="str">
        <f t="shared" si="53"/>
        <v>, 8</v>
      </c>
      <c r="Y249" s="8" t="str">
        <f t="shared" si="54"/>
        <v/>
      </c>
      <c r="Z249" s="8" t="str">
        <f t="shared" si="55"/>
        <v/>
      </c>
      <c r="AA249" s="8" t="str">
        <f t="shared" si="56"/>
        <v/>
      </c>
      <c r="AB249" s="8" t="str">
        <f t="shared" si="57"/>
        <v/>
      </c>
      <c r="AC249" s="5" t="str">
        <f t="shared" si="58"/>
        <v>,		// 245 - 'Divide'</v>
      </c>
      <c r="AD249" s="4"/>
      <c r="AE249" s="31" t="str">
        <f t="shared" si="59"/>
        <v>6, 8, 8, 107, 107, 8, 8,		// 245 - 'Divide'</v>
      </c>
      <c r="AF249" s="4"/>
    </row>
    <row r="250" spans="1:32" x14ac:dyDescent="0.25">
      <c r="A250" s="16">
        <v>246</v>
      </c>
      <c r="B250" s="20"/>
      <c r="C250" s="38" t="s">
        <v>232</v>
      </c>
      <c r="D250" s="42">
        <v>0</v>
      </c>
      <c r="E250" s="11">
        <v>36</v>
      </c>
      <c r="F250" s="11">
        <v>18</v>
      </c>
      <c r="G250" s="11">
        <v>18</v>
      </c>
      <c r="H250" s="11">
        <v>36</v>
      </c>
      <c r="I250" s="11">
        <v>36</v>
      </c>
      <c r="J250" s="11">
        <v>18</v>
      </c>
      <c r="K250" s="11">
        <v>0</v>
      </c>
      <c r="L250" s="11">
        <v>0</v>
      </c>
      <c r="M250" s="11">
        <v>0</v>
      </c>
      <c r="N250" s="12">
        <v>0</v>
      </c>
      <c r="O250" s="4"/>
      <c r="P250" s="4">
        <f t="shared" si="45"/>
        <v>6</v>
      </c>
      <c r="Q250" s="4">
        <f t="shared" si="46"/>
        <v>0</v>
      </c>
      <c r="R250" s="4">
        <f t="shared" si="47"/>
        <v>6</v>
      </c>
      <c r="S250" s="8" t="str">
        <f t="shared" si="48"/>
        <v>, 36</v>
      </c>
      <c r="T250" s="8" t="str">
        <f t="shared" si="49"/>
        <v>, 18</v>
      </c>
      <c r="U250" s="8" t="str">
        <f t="shared" si="50"/>
        <v>, 18</v>
      </c>
      <c r="V250" s="8" t="str">
        <f t="shared" si="51"/>
        <v>, 36</v>
      </c>
      <c r="W250" s="8" t="str">
        <f t="shared" si="52"/>
        <v>, 36</v>
      </c>
      <c r="X250" s="8" t="str">
        <f t="shared" si="53"/>
        <v>, 18</v>
      </c>
      <c r="Y250" s="8" t="str">
        <f t="shared" si="54"/>
        <v/>
      </c>
      <c r="Z250" s="8" t="str">
        <f t="shared" si="55"/>
        <v/>
      </c>
      <c r="AA250" s="8" t="str">
        <f t="shared" si="56"/>
        <v/>
      </c>
      <c r="AB250" s="8" t="str">
        <f t="shared" si="57"/>
        <v/>
      </c>
      <c r="AC250" s="5" t="str">
        <f t="shared" si="58"/>
        <v>,		// 246 - 'Wavy ='</v>
      </c>
      <c r="AD250" s="4"/>
      <c r="AE250" s="31" t="str">
        <f t="shared" si="59"/>
        <v>6, 36, 18, 18, 36, 36, 18,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5"/>
        <v>5</v>
      </c>
      <c r="Q251" s="4">
        <f t="shared" si="46"/>
        <v>0</v>
      </c>
      <c r="R251" s="4">
        <f t="shared" si="47"/>
        <v>5</v>
      </c>
      <c r="S251" s="8" t="str">
        <f t="shared" si="48"/>
        <v>, 6</v>
      </c>
      <c r="T251" s="8" t="str">
        <f t="shared" si="49"/>
        <v>, 15</v>
      </c>
      <c r="U251" s="8" t="str">
        <f t="shared" si="50"/>
        <v>, 9</v>
      </c>
      <c r="V251" s="8" t="str">
        <f t="shared" si="51"/>
        <v>, 15</v>
      </c>
      <c r="W251" s="8" t="str">
        <f t="shared" si="52"/>
        <v>, 6</v>
      </c>
      <c r="X251" s="8" t="str">
        <f t="shared" si="53"/>
        <v/>
      </c>
      <c r="Y251" s="8" t="str">
        <f t="shared" si="54"/>
        <v/>
      </c>
      <c r="Z251" s="8" t="str">
        <f t="shared" si="55"/>
        <v/>
      </c>
      <c r="AA251" s="8" t="str">
        <f t="shared" si="56"/>
        <v/>
      </c>
      <c r="AB251" s="8" t="str">
        <f t="shared" si="57"/>
        <v/>
      </c>
      <c r="AC251" s="5" t="str">
        <f t="shared" si="58"/>
        <v>,		// 247 - 'Degree'</v>
      </c>
      <c r="AD251" s="4"/>
      <c r="AE251" s="31" t="str">
        <f t="shared" si="59"/>
        <v>5, 6, 15, 9, 15, 6,		// 247 - 'Degree'</v>
      </c>
      <c r="AF251" s="4"/>
    </row>
    <row r="252" spans="1:32" x14ac:dyDescent="0.25">
      <c r="A252" s="16">
        <v>248</v>
      </c>
      <c r="B252" s="20"/>
      <c r="C252" s="38" t="s">
        <v>234</v>
      </c>
      <c r="D252" s="42">
        <v>0</v>
      </c>
      <c r="E252" s="11">
        <v>24</v>
      </c>
      <c r="F252" s="11">
        <v>24</v>
      </c>
      <c r="G252" s="11">
        <v>0</v>
      </c>
      <c r="H252" s="11">
        <v>0</v>
      </c>
      <c r="I252" s="11">
        <v>0</v>
      </c>
      <c r="J252" s="11">
        <v>0</v>
      </c>
      <c r="K252" s="11">
        <v>0</v>
      </c>
      <c r="L252" s="11">
        <v>0</v>
      </c>
      <c r="M252" s="11">
        <v>0</v>
      </c>
      <c r="N252" s="12">
        <v>0</v>
      </c>
      <c r="O252" s="4"/>
      <c r="P252" s="4">
        <f t="shared" si="45"/>
        <v>2</v>
      </c>
      <c r="Q252" s="4">
        <f t="shared" si="46"/>
        <v>0</v>
      </c>
      <c r="R252" s="4">
        <f t="shared" si="47"/>
        <v>2</v>
      </c>
      <c r="S252" s="8" t="str">
        <f t="shared" si="48"/>
        <v>, 24</v>
      </c>
      <c r="T252" s="8" t="str">
        <f t="shared" si="49"/>
        <v>, 24</v>
      </c>
      <c r="U252" s="8" t="str">
        <f t="shared" si="50"/>
        <v/>
      </c>
      <c r="V252" s="8" t="str">
        <f t="shared" si="51"/>
        <v/>
      </c>
      <c r="W252" s="8" t="str">
        <f t="shared" si="52"/>
        <v/>
      </c>
      <c r="X252" s="8" t="str">
        <f t="shared" si="53"/>
        <v/>
      </c>
      <c r="Y252" s="8" t="str">
        <f t="shared" si="54"/>
        <v/>
      </c>
      <c r="Z252" s="8" t="str">
        <f t="shared" si="55"/>
        <v/>
      </c>
      <c r="AA252" s="8" t="str">
        <f t="shared" si="56"/>
        <v/>
      </c>
      <c r="AB252" s="8" t="str">
        <f t="shared" si="57"/>
        <v/>
      </c>
      <c r="AC252" s="5" t="str">
        <f t="shared" si="58"/>
        <v>,		// 248 - 'Math Product'</v>
      </c>
      <c r="AD252" s="4"/>
      <c r="AE252" s="31" t="str">
        <f t="shared" si="59"/>
        <v>2,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5"/>
        <v>4</v>
      </c>
      <c r="Q253" s="4">
        <f t="shared" si="46"/>
        <v>0</v>
      </c>
      <c r="R253" s="4">
        <f t="shared" si="47"/>
        <v>4</v>
      </c>
      <c r="S253" s="8" t="str">
        <f t="shared" si="48"/>
        <v>, 0</v>
      </c>
      <c r="T253" s="8" t="str">
        <f t="shared" si="49"/>
        <v>, 0</v>
      </c>
      <c r="U253" s="8" t="str">
        <f t="shared" si="50"/>
        <v>, 16</v>
      </c>
      <c r="V253" s="8" t="str">
        <f t="shared" si="51"/>
        <v>, 16</v>
      </c>
      <c r="W253" s="8" t="str">
        <f t="shared" si="52"/>
        <v/>
      </c>
      <c r="X253" s="8" t="str">
        <f t="shared" si="53"/>
        <v/>
      </c>
      <c r="Y253" s="8" t="str">
        <f t="shared" si="54"/>
        <v/>
      </c>
      <c r="Z253" s="8" t="str">
        <f t="shared" si="55"/>
        <v/>
      </c>
      <c r="AA253" s="8" t="str">
        <f t="shared" si="56"/>
        <v/>
      </c>
      <c r="AB253" s="8" t="str">
        <f t="shared" si="57"/>
        <v/>
      </c>
      <c r="AC253" s="5" t="str">
        <f t="shared" si="58"/>
        <v>,		// 249 - 'Short Dash'</v>
      </c>
      <c r="AD253" s="4"/>
      <c r="AE253" s="31" t="str">
        <f t="shared" si="59"/>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5"/>
        <v>5</v>
      </c>
      <c r="Q254" s="4">
        <f t="shared" si="46"/>
        <v>0</v>
      </c>
      <c r="R254" s="4">
        <f t="shared" si="47"/>
        <v>5</v>
      </c>
      <c r="S254" s="8" t="str">
        <f t="shared" si="48"/>
        <v>, 48</v>
      </c>
      <c r="T254" s="8" t="str">
        <f t="shared" si="49"/>
        <v>, 64</v>
      </c>
      <c r="U254" s="8" t="str">
        <f t="shared" si="50"/>
        <v>, 255</v>
      </c>
      <c r="V254" s="8" t="str">
        <f t="shared" si="51"/>
        <v>, 1</v>
      </c>
      <c r="W254" s="8" t="str">
        <f t="shared" si="52"/>
        <v>, 1</v>
      </c>
      <c r="X254" s="8" t="str">
        <f t="shared" si="53"/>
        <v/>
      </c>
      <c r="Y254" s="8" t="str">
        <f t="shared" si="54"/>
        <v/>
      </c>
      <c r="Z254" s="8" t="str">
        <f t="shared" si="55"/>
        <v/>
      </c>
      <c r="AA254" s="8" t="str">
        <f t="shared" si="56"/>
        <v/>
      </c>
      <c r="AB254" s="8" t="str">
        <f t="shared" si="57"/>
        <v/>
      </c>
      <c r="AC254" s="5" t="str">
        <f t="shared" si="58"/>
        <v>,		// 250 - 'Square Root'</v>
      </c>
      <c r="AD254" s="4"/>
      <c r="AE254" s="31" t="str">
        <f t="shared" si="59"/>
        <v>5, 48, 64, 255, 1, 1,		// 250 - 'Square Root'</v>
      </c>
      <c r="AF254" s="4"/>
    </row>
    <row r="255" spans="1:32" x14ac:dyDescent="0.25">
      <c r="A255" s="16">
        <v>251</v>
      </c>
      <c r="B255" s="20"/>
      <c r="C255" s="38" t="s">
        <v>237</v>
      </c>
      <c r="D255" s="42">
        <v>0</v>
      </c>
      <c r="E255" s="11">
        <v>31</v>
      </c>
      <c r="F255" s="11">
        <v>1</v>
      </c>
      <c r="G255" s="11">
        <v>1</v>
      </c>
      <c r="H255" s="11">
        <v>30</v>
      </c>
      <c r="I255" s="11">
        <v>0</v>
      </c>
      <c r="J255" s="11">
        <v>0</v>
      </c>
      <c r="K255" s="11">
        <v>0</v>
      </c>
      <c r="L255" s="11">
        <v>0</v>
      </c>
      <c r="M255" s="11">
        <v>0</v>
      </c>
      <c r="N255" s="12">
        <v>0</v>
      </c>
      <c r="O255" s="4"/>
      <c r="P255" s="4">
        <f t="shared" si="45"/>
        <v>4</v>
      </c>
      <c r="Q255" s="4">
        <f t="shared" si="46"/>
        <v>0</v>
      </c>
      <c r="R255" s="4">
        <f t="shared" si="47"/>
        <v>4</v>
      </c>
      <c r="S255" s="8" t="str">
        <f t="shared" si="48"/>
        <v>, 31</v>
      </c>
      <c r="T255" s="8" t="str">
        <f t="shared" si="49"/>
        <v>, 1</v>
      </c>
      <c r="U255" s="8" t="str">
        <f t="shared" si="50"/>
        <v>, 1</v>
      </c>
      <c r="V255" s="8" t="str">
        <f t="shared" si="51"/>
        <v>, 30</v>
      </c>
      <c r="W255" s="8" t="str">
        <f t="shared" si="52"/>
        <v/>
      </c>
      <c r="X255" s="8" t="str">
        <f t="shared" si="53"/>
        <v/>
      </c>
      <c r="Y255" s="8" t="str">
        <f t="shared" si="54"/>
        <v/>
      </c>
      <c r="Z255" s="8" t="str">
        <f t="shared" si="55"/>
        <v/>
      </c>
      <c r="AA255" s="8" t="str">
        <f t="shared" si="56"/>
        <v/>
      </c>
      <c r="AB255" s="8" t="str">
        <f t="shared" si="57"/>
        <v/>
      </c>
      <c r="AC255" s="5" t="str">
        <f t="shared" si="58"/>
        <v>,		// 251 - 'Superscript n'</v>
      </c>
      <c r="AD255" s="4"/>
      <c r="AE255" s="31" t="str">
        <f t="shared" si="59"/>
        <v>4, 31, 1, 1, 30,		// 251 - 'Superscript n'</v>
      </c>
      <c r="AF255" s="4"/>
    </row>
    <row r="256" spans="1:32" x14ac:dyDescent="0.25">
      <c r="A256" s="16">
        <v>252</v>
      </c>
      <c r="B256" s="20"/>
      <c r="C256" s="38" t="s">
        <v>238</v>
      </c>
      <c r="D256" s="42">
        <v>0</v>
      </c>
      <c r="E256" s="11">
        <v>25</v>
      </c>
      <c r="F256" s="11">
        <v>21</v>
      </c>
      <c r="G256" s="11">
        <v>21</v>
      </c>
      <c r="H256" s="11">
        <v>18</v>
      </c>
      <c r="I256" s="11">
        <v>0</v>
      </c>
      <c r="J256" s="11">
        <v>0</v>
      </c>
      <c r="K256" s="11">
        <v>0</v>
      </c>
      <c r="L256" s="11">
        <v>0</v>
      </c>
      <c r="M256" s="11">
        <v>0</v>
      </c>
      <c r="N256" s="12">
        <v>0</v>
      </c>
      <c r="O256" s="4"/>
      <c r="P256" s="4">
        <f t="shared" si="45"/>
        <v>4</v>
      </c>
      <c r="Q256" s="4">
        <f t="shared" si="46"/>
        <v>0</v>
      </c>
      <c r="R256" s="4">
        <f t="shared" si="47"/>
        <v>4</v>
      </c>
      <c r="S256" s="8" t="str">
        <f t="shared" si="48"/>
        <v>, 25</v>
      </c>
      <c r="T256" s="8" t="str">
        <f t="shared" si="49"/>
        <v>, 21</v>
      </c>
      <c r="U256" s="8" t="str">
        <f t="shared" si="50"/>
        <v>, 21</v>
      </c>
      <c r="V256" s="8" t="str">
        <f t="shared" si="51"/>
        <v>, 18</v>
      </c>
      <c r="W256" s="8" t="str">
        <f t="shared" si="52"/>
        <v/>
      </c>
      <c r="X256" s="8" t="str">
        <f t="shared" si="53"/>
        <v/>
      </c>
      <c r="Y256" s="8" t="str">
        <f t="shared" si="54"/>
        <v/>
      </c>
      <c r="Z256" s="8" t="str">
        <f t="shared" si="55"/>
        <v/>
      </c>
      <c r="AA256" s="8" t="str">
        <f t="shared" si="56"/>
        <v/>
      </c>
      <c r="AB256" s="8" t="str">
        <f t="shared" si="57"/>
        <v/>
      </c>
      <c r="AC256" s="5" t="str">
        <f t="shared" si="58"/>
        <v>,		// 252 - 'Superscript 2'</v>
      </c>
      <c r="AD256" s="4"/>
      <c r="AE256" s="31" t="str">
        <f t="shared" si="59"/>
        <v>4, 25, 21, 21,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5"/>
        <v>5</v>
      </c>
      <c r="Q257" s="4">
        <f t="shared" si="46"/>
        <v>0</v>
      </c>
      <c r="R257" s="4">
        <f t="shared" si="47"/>
        <v>5</v>
      </c>
      <c r="S257" s="8" t="str">
        <f t="shared" si="48"/>
        <v>, 0</v>
      </c>
      <c r="T257" s="8" t="str">
        <f t="shared" si="49"/>
        <v>, 60</v>
      </c>
      <c r="U257" s="8" t="str">
        <f t="shared" si="50"/>
        <v>, 60</v>
      </c>
      <c r="V257" s="8" t="str">
        <f t="shared" si="51"/>
        <v>, 60</v>
      </c>
      <c r="W257" s="8" t="str">
        <f t="shared" si="52"/>
        <v>, 60</v>
      </c>
      <c r="X257" s="8" t="str">
        <f t="shared" si="53"/>
        <v/>
      </c>
      <c r="Y257" s="8" t="str">
        <f t="shared" si="54"/>
        <v/>
      </c>
      <c r="Z257" s="8" t="str">
        <f t="shared" si="55"/>
        <v/>
      </c>
      <c r="AA257" s="8" t="str">
        <f t="shared" si="56"/>
        <v/>
      </c>
      <c r="AB257" s="8" t="str">
        <f t="shared" si="57"/>
        <v/>
      </c>
      <c r="AC257" s="5" t="str">
        <f t="shared" si="58"/>
        <v>,		// 253 - 'Centered Square'</v>
      </c>
      <c r="AD257" s="4"/>
      <c r="AE257" s="31" t="str">
        <f t="shared" si="59"/>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5"/>
        <v>5</v>
      </c>
      <c r="Q258" s="4">
        <f t="shared" si="46"/>
        <v>0</v>
      </c>
      <c r="R258" s="4">
        <f t="shared" si="47"/>
        <v>5</v>
      </c>
      <c r="S258" s="8" t="str">
        <f t="shared" si="48"/>
        <v>, 255</v>
      </c>
      <c r="T258" s="8" t="str">
        <f t="shared" si="49"/>
        <v>, 129</v>
      </c>
      <c r="U258" s="8" t="str">
        <f t="shared" si="50"/>
        <v>, 129</v>
      </c>
      <c r="V258" s="8" t="str">
        <f t="shared" si="51"/>
        <v>, 129</v>
      </c>
      <c r="W258" s="8" t="str">
        <f t="shared" si="52"/>
        <v>, 255</v>
      </c>
      <c r="X258" s="8" t="str">
        <f t="shared" si="53"/>
        <v/>
      </c>
      <c r="Y258" s="8" t="str">
        <f t="shared" si="54"/>
        <v/>
      </c>
      <c r="Z258" s="8" t="str">
        <f t="shared" si="55"/>
        <v/>
      </c>
      <c r="AA258" s="8" t="str">
        <f t="shared" si="56"/>
        <v/>
      </c>
      <c r="AB258" s="8" t="str">
        <f t="shared" si="57"/>
        <v/>
      </c>
      <c r="AC258" s="5" t="str">
        <f t="shared" si="58"/>
        <v>,		// 254 - 'Full Frame'</v>
      </c>
      <c r="AD258" s="4"/>
      <c r="AE258" s="31" t="str">
        <f t="shared" si="59"/>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5"/>
        <v>5</v>
      </c>
      <c r="Q259" s="4">
        <f t="shared" si="46"/>
        <v>0</v>
      </c>
      <c r="R259" s="4">
        <f t="shared" si="47"/>
        <v>5</v>
      </c>
      <c r="S259" s="8" t="str">
        <f t="shared" si="48"/>
        <v>, 255</v>
      </c>
      <c r="T259" s="8" t="str">
        <f t="shared" si="49"/>
        <v>, 255</v>
      </c>
      <c r="U259" s="8" t="str">
        <f t="shared" si="50"/>
        <v>, 255</v>
      </c>
      <c r="V259" s="8" t="str">
        <f t="shared" si="51"/>
        <v>, 255</v>
      </c>
      <c r="W259" s="8" t="str">
        <f t="shared" si="52"/>
        <v>, 255</v>
      </c>
      <c r="X259" s="8" t="str">
        <f t="shared" si="53"/>
        <v/>
      </c>
      <c r="Y259" s="8" t="str">
        <f t="shared" si="54"/>
        <v/>
      </c>
      <c r="Z259" s="8" t="str">
        <f t="shared" si="55"/>
        <v/>
      </c>
      <c r="AA259" s="8" t="str">
        <f t="shared" si="56"/>
        <v/>
      </c>
      <c r="AB259" s="8" t="str">
        <f t="shared" si="57"/>
        <v/>
      </c>
      <c r="AC259" s="5" t="str">
        <f t="shared" si="58"/>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sheet="1" objects="1" scenarios="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12</v>
      </c>
      <c r="E63" s="11">
        <v>12</v>
      </c>
      <c r="F63" s="11">
        <v>12</v>
      </c>
      <c r="G63" s="11">
        <v>12</v>
      </c>
      <c r="H63" s="11">
        <v>12</v>
      </c>
      <c r="I63" s="11">
        <v>12</v>
      </c>
      <c r="J63" s="11">
        <v>12</v>
      </c>
      <c r="K63" s="11">
        <v>12</v>
      </c>
      <c r="L63" s="11">
        <v>12</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3</v>
      </c>
      <c r="G67" s="11">
        <v>3</v>
      </c>
      <c r="H67" s="11">
        <v>3</v>
      </c>
      <c r="I67" s="11">
        <v>3</v>
      </c>
      <c r="J67" s="11">
        <v>3</v>
      </c>
      <c r="K67" s="11">
        <v>3</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48</v>
      </c>
      <c r="E191" s="11">
        <v>48</v>
      </c>
      <c r="F191" s="11">
        <v>48</v>
      </c>
      <c r="G191" s="11">
        <v>48</v>
      </c>
      <c r="H191" s="11">
        <v>48</v>
      </c>
      <c r="I191" s="11">
        <v>48</v>
      </c>
      <c r="J191" s="11">
        <v>48</v>
      </c>
      <c r="K191" s="11">
        <v>48</v>
      </c>
      <c r="L191" s="11">
        <v>48</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252</v>
      </c>
      <c r="E195" s="11">
        <v>254</v>
      </c>
      <c r="F195" s="11">
        <v>7</v>
      </c>
      <c r="G195" s="11">
        <v>3</v>
      </c>
      <c r="H195" s="11">
        <v>3</v>
      </c>
      <c r="I195" s="11">
        <v>3</v>
      </c>
      <c r="J195" s="11">
        <v>3</v>
      </c>
      <c r="K195" s="11">
        <v>7</v>
      </c>
      <c r="L195" s="11">
        <v>254</v>
      </c>
      <c r="M195" s="12">
        <v>252</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28</v>
      </c>
      <c r="F224" s="11">
        <v>14</v>
      </c>
      <c r="G224" s="11">
        <v>7</v>
      </c>
      <c r="H224" s="11">
        <v>7</v>
      </c>
      <c r="I224" s="11">
        <v>14</v>
      </c>
      <c r="J224" s="11">
        <v>28</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255</v>
      </c>
      <c r="E50" s="11">
        <v>254</v>
      </c>
      <c r="F50" s="11">
        <v>192</v>
      </c>
      <c r="G50" s="11">
        <v>192</v>
      </c>
      <c r="H50" s="11">
        <v>192</v>
      </c>
      <c r="I50" s="11">
        <v>192</v>
      </c>
      <c r="J50" s="11">
        <v>192</v>
      </c>
      <c r="K50" s="11">
        <v>192</v>
      </c>
      <c r="L50" s="11">
        <v>254</v>
      </c>
      <c r="M50" s="12">
        <v>255</v>
      </c>
    </row>
    <row r="51" spans="1:13" x14ac:dyDescent="0.25">
      <c r="A51">
        <v>49</v>
      </c>
      <c r="B51" s="38" t="s">
        <v>550</v>
      </c>
      <c r="C51" s="42">
        <v>10</v>
      </c>
      <c r="D51" s="11">
        <v>0</v>
      </c>
      <c r="E51" s="11">
        <v>0</v>
      </c>
      <c r="F51" s="11">
        <v>0</v>
      </c>
      <c r="G51" s="11">
        <v>0</v>
      </c>
      <c r="H51" s="11">
        <v>0</v>
      </c>
      <c r="I51" s="11">
        <v>0</v>
      </c>
      <c r="J51" s="11">
        <v>0</v>
      </c>
      <c r="K51" s="11">
        <v>0</v>
      </c>
      <c r="L51" s="11">
        <v>126</v>
      </c>
      <c r="M51" s="12">
        <v>255</v>
      </c>
    </row>
    <row r="52" spans="1:13" x14ac:dyDescent="0.25">
      <c r="A52">
        <v>50</v>
      </c>
      <c r="B52" s="38" t="s">
        <v>246</v>
      </c>
      <c r="C52" s="42">
        <v>10</v>
      </c>
      <c r="D52" s="11">
        <v>255</v>
      </c>
      <c r="E52" s="11">
        <v>255</v>
      </c>
      <c r="F52" s="11">
        <v>193</v>
      </c>
      <c r="G52" s="11">
        <v>193</v>
      </c>
      <c r="H52" s="11">
        <v>193</v>
      </c>
      <c r="I52" s="11">
        <v>193</v>
      </c>
      <c r="J52" s="11">
        <v>193</v>
      </c>
      <c r="K52" s="11">
        <v>193</v>
      </c>
      <c r="L52" s="11">
        <v>129</v>
      </c>
      <c r="M52" s="12">
        <v>0</v>
      </c>
    </row>
    <row r="53" spans="1:13" x14ac:dyDescent="0.25">
      <c r="A53">
        <v>51</v>
      </c>
      <c r="B53" s="38" t="s">
        <v>247</v>
      </c>
      <c r="C53" s="42">
        <v>10</v>
      </c>
      <c r="D53" s="11">
        <v>0</v>
      </c>
      <c r="E53" s="11">
        <v>129</v>
      </c>
      <c r="F53" s="11">
        <v>193</v>
      </c>
      <c r="G53" s="11">
        <v>193</v>
      </c>
      <c r="H53" s="11">
        <v>193</v>
      </c>
      <c r="I53" s="11">
        <v>193</v>
      </c>
      <c r="J53" s="11">
        <v>193</v>
      </c>
      <c r="K53" s="11">
        <v>193</v>
      </c>
      <c r="L53" s="11">
        <v>255</v>
      </c>
      <c r="M53" s="12">
        <v>255</v>
      </c>
    </row>
    <row r="54" spans="1:13" x14ac:dyDescent="0.25">
      <c r="A54">
        <v>52</v>
      </c>
      <c r="B54" s="38" t="s">
        <v>551</v>
      </c>
      <c r="C54" s="42">
        <v>10</v>
      </c>
      <c r="D54" s="11">
        <v>0</v>
      </c>
      <c r="E54" s="11">
        <v>1</v>
      </c>
      <c r="F54" s="11">
        <v>1</v>
      </c>
      <c r="G54" s="11">
        <v>1</v>
      </c>
      <c r="H54" s="11">
        <v>1</v>
      </c>
      <c r="I54" s="11">
        <v>1</v>
      </c>
      <c r="J54" s="11">
        <v>1</v>
      </c>
      <c r="K54" s="11">
        <v>1</v>
      </c>
      <c r="L54" s="11">
        <v>127</v>
      </c>
      <c r="M54" s="12">
        <v>255</v>
      </c>
    </row>
    <row r="55" spans="1:13" x14ac:dyDescent="0.25">
      <c r="A55">
        <v>53</v>
      </c>
      <c r="B55" s="38" t="s">
        <v>436</v>
      </c>
      <c r="C55" s="42">
        <v>10</v>
      </c>
      <c r="D55" s="11">
        <v>0</v>
      </c>
      <c r="E55" s="11">
        <v>129</v>
      </c>
      <c r="F55" s="11">
        <v>193</v>
      </c>
      <c r="G55" s="11">
        <v>193</v>
      </c>
      <c r="H55" s="11">
        <v>193</v>
      </c>
      <c r="I55" s="11">
        <v>193</v>
      </c>
      <c r="J55" s="11">
        <v>193</v>
      </c>
      <c r="K55" s="11">
        <v>193</v>
      </c>
      <c r="L55" s="11">
        <v>255</v>
      </c>
      <c r="M55" s="12">
        <v>255</v>
      </c>
    </row>
    <row r="56" spans="1:13" x14ac:dyDescent="0.25">
      <c r="A56">
        <v>54</v>
      </c>
      <c r="B56" s="38" t="s">
        <v>248</v>
      </c>
      <c r="C56" s="42">
        <v>10</v>
      </c>
      <c r="D56" s="11">
        <v>255</v>
      </c>
      <c r="E56" s="11">
        <v>255</v>
      </c>
      <c r="F56" s="11">
        <v>193</v>
      </c>
      <c r="G56" s="11">
        <v>193</v>
      </c>
      <c r="H56" s="11">
        <v>193</v>
      </c>
      <c r="I56" s="11">
        <v>193</v>
      </c>
      <c r="J56" s="11">
        <v>193</v>
      </c>
      <c r="K56" s="11">
        <v>193</v>
      </c>
      <c r="L56" s="11">
        <v>255</v>
      </c>
      <c r="M56" s="12">
        <v>255</v>
      </c>
    </row>
    <row r="57" spans="1:13" x14ac:dyDescent="0.25">
      <c r="A57">
        <v>55</v>
      </c>
      <c r="B57" s="38" t="s">
        <v>249</v>
      </c>
      <c r="C57" s="42">
        <v>10</v>
      </c>
      <c r="D57" s="11">
        <v>0</v>
      </c>
      <c r="E57" s="11">
        <v>0</v>
      </c>
      <c r="F57" s="11">
        <v>0</v>
      </c>
      <c r="G57" s="11">
        <v>0</v>
      </c>
      <c r="H57" s="11">
        <v>0</v>
      </c>
      <c r="I57" s="11">
        <v>0</v>
      </c>
      <c r="J57" s="11">
        <v>0</v>
      </c>
      <c r="K57" s="11">
        <v>0</v>
      </c>
      <c r="L57" s="11">
        <v>126</v>
      </c>
      <c r="M57" s="12">
        <v>255</v>
      </c>
    </row>
    <row r="58" spans="1:13" x14ac:dyDescent="0.25">
      <c r="A58">
        <v>56</v>
      </c>
      <c r="B58" s="38" t="s">
        <v>552</v>
      </c>
      <c r="C58" s="42">
        <v>10</v>
      </c>
      <c r="D58" s="11">
        <v>255</v>
      </c>
      <c r="E58" s="11">
        <v>255</v>
      </c>
      <c r="F58" s="11">
        <v>193</v>
      </c>
      <c r="G58" s="11">
        <v>193</v>
      </c>
      <c r="H58" s="11">
        <v>193</v>
      </c>
      <c r="I58" s="11">
        <v>193</v>
      </c>
      <c r="J58" s="11">
        <v>193</v>
      </c>
      <c r="K58" s="11">
        <v>193</v>
      </c>
      <c r="L58" s="11">
        <v>255</v>
      </c>
      <c r="M58" s="12">
        <v>255</v>
      </c>
    </row>
    <row r="59" spans="1:13" x14ac:dyDescent="0.25">
      <c r="A59">
        <v>57</v>
      </c>
      <c r="B59" s="38" t="s">
        <v>250</v>
      </c>
      <c r="C59" s="42">
        <v>10</v>
      </c>
      <c r="D59" s="11">
        <v>0</v>
      </c>
      <c r="E59" s="11">
        <v>129</v>
      </c>
      <c r="F59" s="11">
        <v>193</v>
      </c>
      <c r="G59" s="11">
        <v>193</v>
      </c>
      <c r="H59" s="11">
        <v>193</v>
      </c>
      <c r="I59" s="11">
        <v>193</v>
      </c>
      <c r="J59" s="11">
        <v>193</v>
      </c>
      <c r="K59" s="11">
        <v>193</v>
      </c>
      <c r="L59" s="11">
        <v>255</v>
      </c>
      <c r="M59" s="12">
        <v>255</v>
      </c>
    </row>
    <row r="60" spans="1:13" x14ac:dyDescent="0.25">
      <c r="A60">
        <v>58</v>
      </c>
      <c r="B60" s="38" t="s">
        <v>20</v>
      </c>
      <c r="C60" s="42">
        <v>10</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255</v>
      </c>
      <c r="E67" s="11">
        <v>255</v>
      </c>
      <c r="F67" s="11">
        <v>1</v>
      </c>
      <c r="G67" s="11">
        <v>1</v>
      </c>
      <c r="H67" s="11">
        <v>1</v>
      </c>
      <c r="I67" s="11">
        <v>1</v>
      </c>
      <c r="J67" s="11">
        <v>1</v>
      </c>
      <c r="K67" s="11">
        <v>1</v>
      </c>
      <c r="L67" s="11">
        <v>255</v>
      </c>
      <c r="M67" s="12">
        <v>255</v>
      </c>
    </row>
    <row r="68" spans="1:13" x14ac:dyDescent="0.25">
      <c r="A68">
        <v>66</v>
      </c>
      <c r="B68" s="38" t="s">
        <v>3</v>
      </c>
      <c r="C68" s="42">
        <v>10</v>
      </c>
      <c r="D68" s="11">
        <v>255</v>
      </c>
      <c r="E68" s="11">
        <v>255</v>
      </c>
      <c r="F68" s="11">
        <v>193</v>
      </c>
      <c r="G68" s="11">
        <v>193</v>
      </c>
      <c r="H68" s="11">
        <v>193</v>
      </c>
      <c r="I68" s="11">
        <v>193</v>
      </c>
      <c r="J68" s="11">
        <v>193</v>
      </c>
      <c r="K68" s="11">
        <v>193</v>
      </c>
      <c r="L68" s="11">
        <v>255</v>
      </c>
      <c r="M68" s="12">
        <v>255</v>
      </c>
    </row>
    <row r="69" spans="1:13" x14ac:dyDescent="0.25">
      <c r="A69">
        <v>67</v>
      </c>
      <c r="B69" s="38" t="s">
        <v>4</v>
      </c>
      <c r="C69" s="42">
        <v>10</v>
      </c>
      <c r="D69" s="11">
        <v>255</v>
      </c>
      <c r="E69" s="11">
        <v>255</v>
      </c>
      <c r="F69" s="11">
        <v>193</v>
      </c>
      <c r="G69" s="11">
        <v>193</v>
      </c>
      <c r="H69" s="11">
        <v>193</v>
      </c>
      <c r="I69" s="11">
        <v>193</v>
      </c>
      <c r="J69" s="11">
        <v>193</v>
      </c>
      <c r="K69" s="11">
        <v>193</v>
      </c>
      <c r="L69" s="11">
        <v>129</v>
      </c>
      <c r="M69" s="12">
        <v>0</v>
      </c>
    </row>
    <row r="70" spans="1:13" x14ac:dyDescent="0.25">
      <c r="A70">
        <v>68</v>
      </c>
      <c r="B70" s="38" t="s">
        <v>27</v>
      </c>
      <c r="C70" s="42">
        <v>10</v>
      </c>
      <c r="D70" s="11">
        <v>255</v>
      </c>
      <c r="E70" s="11">
        <v>255</v>
      </c>
      <c r="F70" s="11">
        <v>193</v>
      </c>
      <c r="G70" s="11">
        <v>193</v>
      </c>
      <c r="H70" s="11">
        <v>193</v>
      </c>
      <c r="I70" s="11">
        <v>193</v>
      </c>
      <c r="J70" s="11">
        <v>193</v>
      </c>
      <c r="K70" s="11">
        <v>193</v>
      </c>
      <c r="L70" s="11">
        <v>255</v>
      </c>
      <c r="M70" s="12">
        <v>255</v>
      </c>
    </row>
    <row r="71" spans="1:13" x14ac:dyDescent="0.25">
      <c r="A71">
        <v>69</v>
      </c>
      <c r="B71" s="38" t="s">
        <v>28</v>
      </c>
      <c r="C71" s="42">
        <v>10</v>
      </c>
      <c r="D71" s="11">
        <v>255</v>
      </c>
      <c r="E71" s="11">
        <v>255</v>
      </c>
      <c r="F71" s="11">
        <v>193</v>
      </c>
      <c r="G71" s="11">
        <v>193</v>
      </c>
      <c r="H71" s="11">
        <v>193</v>
      </c>
      <c r="I71" s="11">
        <v>193</v>
      </c>
      <c r="J71" s="11">
        <v>193</v>
      </c>
      <c r="K71" s="11">
        <v>193</v>
      </c>
      <c r="L71" s="11">
        <v>128</v>
      </c>
      <c r="M71" s="12">
        <v>0</v>
      </c>
    </row>
    <row r="72" spans="1:13" x14ac:dyDescent="0.25">
      <c r="A72">
        <v>70</v>
      </c>
      <c r="B72" s="38" t="s">
        <v>29</v>
      </c>
      <c r="C72" s="42">
        <v>10</v>
      </c>
      <c r="D72" s="11">
        <v>255</v>
      </c>
      <c r="E72" s="11">
        <v>127</v>
      </c>
      <c r="F72" s="11">
        <v>1</v>
      </c>
      <c r="G72" s="11">
        <v>1</v>
      </c>
      <c r="H72" s="11">
        <v>1</v>
      </c>
      <c r="I72" s="11">
        <v>1</v>
      </c>
      <c r="J72" s="11">
        <v>1</v>
      </c>
      <c r="K72" s="11">
        <v>1</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255</v>
      </c>
      <c r="E99" s="11">
        <v>255</v>
      </c>
      <c r="F99" s="11">
        <v>1</v>
      </c>
      <c r="G99" s="11">
        <v>1</v>
      </c>
      <c r="H99" s="11">
        <v>1</v>
      </c>
      <c r="I99" s="11">
        <v>1</v>
      </c>
      <c r="J99" s="11">
        <v>1</v>
      </c>
      <c r="K99" s="11">
        <v>1</v>
      </c>
      <c r="L99" s="11">
        <v>255</v>
      </c>
      <c r="M99" s="12">
        <v>255</v>
      </c>
    </row>
    <row r="100" spans="1:13" x14ac:dyDescent="0.25">
      <c r="A100">
        <v>98</v>
      </c>
      <c r="B100" s="38" t="s">
        <v>57</v>
      </c>
      <c r="C100" s="42" t="s">
        <v>436</v>
      </c>
      <c r="D100" s="11">
        <v>255</v>
      </c>
      <c r="E100" s="11">
        <v>255</v>
      </c>
      <c r="F100" s="11">
        <v>193</v>
      </c>
      <c r="G100" s="11">
        <v>193</v>
      </c>
      <c r="H100" s="11">
        <v>193</v>
      </c>
      <c r="I100" s="11">
        <v>193</v>
      </c>
      <c r="J100" s="11">
        <v>193</v>
      </c>
      <c r="K100" s="11">
        <v>193</v>
      </c>
      <c r="L100" s="11">
        <v>255</v>
      </c>
      <c r="M100" s="12">
        <v>255</v>
      </c>
    </row>
    <row r="101" spans="1:13" x14ac:dyDescent="0.25">
      <c r="A101">
        <v>99</v>
      </c>
      <c r="B101" s="38" t="s">
        <v>58</v>
      </c>
      <c r="C101" s="42" t="s">
        <v>436</v>
      </c>
      <c r="D101" s="11">
        <v>255</v>
      </c>
      <c r="E101" s="11">
        <v>255</v>
      </c>
      <c r="F101" s="11">
        <v>193</v>
      </c>
      <c r="G101" s="11">
        <v>193</v>
      </c>
      <c r="H101" s="11">
        <v>193</v>
      </c>
      <c r="I101" s="11">
        <v>193</v>
      </c>
      <c r="J101" s="11">
        <v>193</v>
      </c>
      <c r="K101" s="11">
        <v>193</v>
      </c>
      <c r="L101" s="11">
        <v>129</v>
      </c>
      <c r="M101" s="12">
        <v>0</v>
      </c>
    </row>
    <row r="102" spans="1:13" x14ac:dyDescent="0.25">
      <c r="A102">
        <v>100</v>
      </c>
      <c r="B102" s="38" t="s">
        <v>59</v>
      </c>
      <c r="C102" s="42" t="s">
        <v>436</v>
      </c>
      <c r="D102" s="11">
        <v>255</v>
      </c>
      <c r="E102" s="11">
        <v>255</v>
      </c>
      <c r="F102" s="11">
        <v>193</v>
      </c>
      <c r="G102" s="11">
        <v>193</v>
      </c>
      <c r="H102" s="11">
        <v>193</v>
      </c>
      <c r="I102" s="11">
        <v>193</v>
      </c>
      <c r="J102" s="11">
        <v>193</v>
      </c>
      <c r="K102" s="11">
        <v>193</v>
      </c>
      <c r="L102" s="11">
        <v>255</v>
      </c>
      <c r="M102" s="12">
        <v>255</v>
      </c>
    </row>
    <row r="103" spans="1:13" x14ac:dyDescent="0.25">
      <c r="A103">
        <v>101</v>
      </c>
      <c r="B103" s="38" t="s">
        <v>60</v>
      </c>
      <c r="C103" s="42" t="s">
        <v>436</v>
      </c>
      <c r="D103" s="11">
        <v>255</v>
      </c>
      <c r="E103" s="11">
        <v>255</v>
      </c>
      <c r="F103" s="11">
        <v>193</v>
      </c>
      <c r="G103" s="11">
        <v>193</v>
      </c>
      <c r="H103" s="11">
        <v>193</v>
      </c>
      <c r="I103" s="11">
        <v>193</v>
      </c>
      <c r="J103" s="11">
        <v>193</v>
      </c>
      <c r="K103" s="11">
        <v>193</v>
      </c>
      <c r="L103" s="11">
        <v>128</v>
      </c>
      <c r="M103" s="12">
        <v>0</v>
      </c>
    </row>
    <row r="104" spans="1:13" x14ac:dyDescent="0.25">
      <c r="A104">
        <v>102</v>
      </c>
      <c r="B104" s="38" t="s">
        <v>61</v>
      </c>
      <c r="C104" s="42" t="s">
        <v>436</v>
      </c>
      <c r="D104" s="11">
        <v>255</v>
      </c>
      <c r="E104" s="11">
        <v>127</v>
      </c>
      <c r="F104" s="11">
        <v>1</v>
      </c>
      <c r="G104" s="11">
        <v>1</v>
      </c>
      <c r="H104" s="11">
        <v>1</v>
      </c>
      <c r="I104" s="11">
        <v>1</v>
      </c>
      <c r="J104" s="11">
        <v>1</v>
      </c>
      <c r="K104" s="11">
        <v>1</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255</v>
      </c>
      <c r="E178" s="11">
        <v>127</v>
      </c>
      <c r="F178" s="11">
        <v>3</v>
      </c>
      <c r="G178" s="11">
        <v>3</v>
      </c>
      <c r="H178" s="11">
        <v>3</v>
      </c>
      <c r="I178" s="11">
        <v>3</v>
      </c>
      <c r="J178" s="11">
        <v>3</v>
      </c>
      <c r="K178" s="11">
        <v>3</v>
      </c>
      <c r="L178" s="11">
        <v>127</v>
      </c>
      <c r="M178" s="12">
        <v>255</v>
      </c>
    </row>
    <row r="179" spans="1:13" x14ac:dyDescent="0.25">
      <c r="A179">
        <v>177</v>
      </c>
      <c r="B179" s="38"/>
      <c r="C179" s="42"/>
      <c r="D179" s="11">
        <v>0</v>
      </c>
      <c r="E179" s="11">
        <v>0</v>
      </c>
      <c r="F179" s="11">
        <v>0</v>
      </c>
      <c r="G179" s="11">
        <v>0</v>
      </c>
      <c r="H179" s="11">
        <v>0</v>
      </c>
      <c r="I179" s="11">
        <v>0</v>
      </c>
      <c r="J179" s="11">
        <v>0</v>
      </c>
      <c r="K179" s="11">
        <v>0</v>
      </c>
      <c r="L179" s="11">
        <v>126</v>
      </c>
      <c r="M179" s="12">
        <v>255</v>
      </c>
    </row>
    <row r="180" spans="1:13" x14ac:dyDescent="0.25">
      <c r="A180">
        <v>178</v>
      </c>
      <c r="B180" s="38"/>
      <c r="C180" s="42"/>
      <c r="D180" s="11">
        <v>0</v>
      </c>
      <c r="E180" s="11">
        <v>129</v>
      </c>
      <c r="F180" s="11">
        <v>131</v>
      </c>
      <c r="G180" s="11">
        <v>131</v>
      </c>
      <c r="H180" s="11">
        <v>131</v>
      </c>
      <c r="I180" s="11">
        <v>131</v>
      </c>
      <c r="J180" s="11">
        <v>131</v>
      </c>
      <c r="K180" s="11">
        <v>131</v>
      </c>
      <c r="L180" s="11">
        <v>255</v>
      </c>
      <c r="M180" s="12">
        <v>255</v>
      </c>
    </row>
    <row r="181" spans="1:13" x14ac:dyDescent="0.25">
      <c r="A181">
        <v>179</v>
      </c>
      <c r="B181" s="38"/>
      <c r="C181" s="42"/>
      <c r="D181" s="11">
        <v>0</v>
      </c>
      <c r="E181" s="11">
        <v>1</v>
      </c>
      <c r="F181" s="11">
        <v>131</v>
      </c>
      <c r="G181" s="11">
        <v>131</v>
      </c>
      <c r="H181" s="11">
        <v>131</v>
      </c>
      <c r="I181" s="11">
        <v>131</v>
      </c>
      <c r="J181" s="11">
        <v>131</v>
      </c>
      <c r="K181" s="11">
        <v>131</v>
      </c>
      <c r="L181" s="11">
        <v>255</v>
      </c>
      <c r="M181" s="12">
        <v>255</v>
      </c>
    </row>
    <row r="182" spans="1:13" x14ac:dyDescent="0.25">
      <c r="A182">
        <v>180</v>
      </c>
      <c r="B182" s="38"/>
      <c r="C182" s="42"/>
      <c r="D182" s="11">
        <v>255</v>
      </c>
      <c r="E182" s="11">
        <v>254</v>
      </c>
      <c r="F182" s="11">
        <v>128</v>
      </c>
      <c r="G182" s="11">
        <v>128</v>
      </c>
      <c r="H182" s="11">
        <v>128</v>
      </c>
      <c r="I182" s="11">
        <v>128</v>
      </c>
      <c r="J182" s="11">
        <v>128</v>
      </c>
      <c r="K182" s="11">
        <v>128</v>
      </c>
      <c r="L182" s="11">
        <v>254</v>
      </c>
      <c r="M182" s="12">
        <v>255</v>
      </c>
    </row>
    <row r="183" spans="1:13" x14ac:dyDescent="0.25">
      <c r="A183">
        <v>181</v>
      </c>
      <c r="B183" s="38"/>
      <c r="C183" s="42"/>
      <c r="D183" s="11">
        <v>255</v>
      </c>
      <c r="E183" s="11">
        <v>255</v>
      </c>
      <c r="F183" s="11">
        <v>131</v>
      </c>
      <c r="G183" s="11">
        <v>131</v>
      </c>
      <c r="H183" s="11">
        <v>131</v>
      </c>
      <c r="I183" s="11">
        <v>131</v>
      </c>
      <c r="J183" s="11">
        <v>131</v>
      </c>
      <c r="K183" s="11">
        <v>131</v>
      </c>
      <c r="L183" s="11">
        <v>129</v>
      </c>
      <c r="M183" s="12">
        <v>0</v>
      </c>
    </row>
    <row r="184" spans="1:13" x14ac:dyDescent="0.25">
      <c r="A184">
        <v>182</v>
      </c>
      <c r="B184" s="38"/>
      <c r="C184" s="42"/>
      <c r="D184" s="11">
        <v>255</v>
      </c>
      <c r="E184" s="11">
        <v>255</v>
      </c>
      <c r="F184" s="11">
        <v>131</v>
      </c>
      <c r="G184" s="11">
        <v>131</v>
      </c>
      <c r="H184" s="11">
        <v>131</v>
      </c>
      <c r="I184" s="11">
        <v>131</v>
      </c>
      <c r="J184" s="11">
        <v>131</v>
      </c>
      <c r="K184" s="11">
        <v>131</v>
      </c>
      <c r="L184" s="11">
        <v>129</v>
      </c>
      <c r="M184" s="12">
        <v>0</v>
      </c>
    </row>
    <row r="185" spans="1:13" x14ac:dyDescent="0.25">
      <c r="A185">
        <v>183</v>
      </c>
      <c r="B185" s="38"/>
      <c r="C185" s="42"/>
      <c r="D185" s="11">
        <v>0</v>
      </c>
      <c r="E185" s="11">
        <v>1</v>
      </c>
      <c r="F185" s="11">
        <v>3</v>
      </c>
      <c r="G185" s="11">
        <v>3</v>
      </c>
      <c r="H185" s="11">
        <v>3</v>
      </c>
      <c r="I185" s="11">
        <v>3</v>
      </c>
      <c r="J185" s="11">
        <v>3</v>
      </c>
      <c r="K185" s="11">
        <v>3</v>
      </c>
      <c r="L185" s="11">
        <v>127</v>
      </c>
      <c r="M185" s="12">
        <v>255</v>
      </c>
    </row>
    <row r="186" spans="1:13" x14ac:dyDescent="0.25">
      <c r="A186">
        <v>184</v>
      </c>
      <c r="B186" s="38"/>
      <c r="C186" s="42"/>
      <c r="D186" s="11">
        <v>255</v>
      </c>
      <c r="E186" s="11">
        <v>255</v>
      </c>
      <c r="F186" s="11">
        <v>131</v>
      </c>
      <c r="G186" s="11">
        <v>131</v>
      </c>
      <c r="H186" s="11">
        <v>131</v>
      </c>
      <c r="I186" s="11">
        <v>131</v>
      </c>
      <c r="J186" s="11">
        <v>131</v>
      </c>
      <c r="K186" s="11">
        <v>131</v>
      </c>
      <c r="L186" s="11">
        <v>255</v>
      </c>
      <c r="M186" s="12">
        <v>255</v>
      </c>
    </row>
    <row r="187" spans="1:13" x14ac:dyDescent="0.25">
      <c r="A187">
        <v>185</v>
      </c>
      <c r="B187" s="38"/>
      <c r="C187" s="42"/>
      <c r="D187" s="11">
        <v>255</v>
      </c>
      <c r="E187" s="11">
        <v>255</v>
      </c>
      <c r="F187" s="11">
        <v>131</v>
      </c>
      <c r="G187" s="11">
        <v>131</v>
      </c>
      <c r="H187" s="11">
        <v>131</v>
      </c>
      <c r="I187" s="11">
        <v>131</v>
      </c>
      <c r="J187" s="11">
        <v>131</v>
      </c>
      <c r="K187" s="11">
        <v>131</v>
      </c>
      <c r="L187" s="11">
        <v>255</v>
      </c>
      <c r="M187" s="12">
        <v>255</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255</v>
      </c>
      <c r="E195" s="11">
        <v>255</v>
      </c>
      <c r="F195" s="11">
        <v>131</v>
      </c>
      <c r="G195" s="11">
        <v>131</v>
      </c>
      <c r="H195" s="11">
        <v>131</v>
      </c>
      <c r="I195" s="11">
        <v>131</v>
      </c>
      <c r="J195" s="11">
        <v>131</v>
      </c>
      <c r="K195" s="11">
        <v>131</v>
      </c>
      <c r="L195" s="11">
        <v>255</v>
      </c>
      <c r="M195" s="12">
        <v>255</v>
      </c>
    </row>
    <row r="196" spans="1:13" x14ac:dyDescent="0.25">
      <c r="A196">
        <v>194</v>
      </c>
      <c r="B196" s="38"/>
      <c r="C196" s="42"/>
      <c r="D196" s="11">
        <v>255</v>
      </c>
      <c r="E196" s="11">
        <v>254</v>
      </c>
      <c r="F196" s="11">
        <v>128</v>
      </c>
      <c r="G196" s="11">
        <v>128</v>
      </c>
      <c r="H196" s="11">
        <v>128</v>
      </c>
      <c r="I196" s="11">
        <v>128</v>
      </c>
      <c r="J196" s="11">
        <v>128</v>
      </c>
      <c r="K196" s="11">
        <v>128</v>
      </c>
      <c r="L196" s="11">
        <v>128</v>
      </c>
      <c r="M196" s="12">
        <v>128</v>
      </c>
    </row>
    <row r="197" spans="1:13" x14ac:dyDescent="0.25">
      <c r="A197">
        <v>195</v>
      </c>
      <c r="B197" s="38"/>
      <c r="C197" s="42"/>
      <c r="D197" s="11">
        <v>0</v>
      </c>
      <c r="E197" s="11">
        <v>128</v>
      </c>
      <c r="F197" s="11">
        <v>128</v>
      </c>
      <c r="G197" s="11">
        <v>128</v>
      </c>
      <c r="H197" s="11">
        <v>128</v>
      </c>
      <c r="I197" s="11">
        <v>128</v>
      </c>
      <c r="J197" s="11">
        <v>128</v>
      </c>
      <c r="K197" s="11">
        <v>128</v>
      </c>
      <c r="L197" s="11">
        <v>0</v>
      </c>
      <c r="M197" s="12">
        <v>0</v>
      </c>
    </row>
    <row r="198" spans="1:13" x14ac:dyDescent="0.25">
      <c r="A198">
        <v>196</v>
      </c>
      <c r="B198" s="38"/>
      <c r="C198" s="42"/>
      <c r="D198" s="11">
        <v>128</v>
      </c>
      <c r="E198" s="11">
        <v>128</v>
      </c>
      <c r="F198" s="11">
        <v>128</v>
      </c>
      <c r="G198" s="11">
        <v>128</v>
      </c>
      <c r="H198" s="11">
        <v>128</v>
      </c>
      <c r="I198" s="11">
        <v>128</v>
      </c>
      <c r="J198" s="11">
        <v>128</v>
      </c>
      <c r="K198" s="11">
        <v>128</v>
      </c>
      <c r="L198" s="11">
        <v>254</v>
      </c>
      <c r="M198" s="12">
        <v>255</v>
      </c>
    </row>
    <row r="199" spans="1:13" x14ac:dyDescent="0.25">
      <c r="A199">
        <v>197</v>
      </c>
      <c r="B199" s="38"/>
      <c r="C199" s="42"/>
      <c r="D199" s="11">
        <v>255</v>
      </c>
      <c r="E199" s="11">
        <v>255</v>
      </c>
      <c r="F199" s="11">
        <v>131</v>
      </c>
      <c r="G199" s="11">
        <v>131</v>
      </c>
      <c r="H199" s="11">
        <v>131</v>
      </c>
      <c r="I199" s="11">
        <v>131</v>
      </c>
      <c r="J199" s="11">
        <v>131</v>
      </c>
      <c r="K199" s="11">
        <v>131</v>
      </c>
      <c r="L199" s="11">
        <v>129</v>
      </c>
      <c r="M199" s="12">
        <v>0</v>
      </c>
    </row>
    <row r="200" spans="1:13" x14ac:dyDescent="0.25">
      <c r="A200">
        <v>198</v>
      </c>
      <c r="B200" s="38"/>
      <c r="C200" s="42"/>
      <c r="D200" s="11">
        <v>255</v>
      </c>
      <c r="E200" s="11">
        <v>255</v>
      </c>
      <c r="F200" s="11">
        <v>131</v>
      </c>
      <c r="G200" s="11">
        <v>131</v>
      </c>
      <c r="H200" s="11">
        <v>131</v>
      </c>
      <c r="I200" s="11">
        <v>131</v>
      </c>
      <c r="J200" s="11">
        <v>131</v>
      </c>
      <c r="K200" s="11">
        <v>131</v>
      </c>
      <c r="L200" s="11">
        <v>129</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255</v>
      </c>
      <c r="E227" s="11">
        <v>255</v>
      </c>
      <c r="F227" s="11">
        <v>131</v>
      </c>
      <c r="G227" s="11">
        <v>131</v>
      </c>
      <c r="H227" s="11">
        <v>131</v>
      </c>
      <c r="I227" s="11">
        <v>131</v>
      </c>
      <c r="J227" s="11">
        <v>131</v>
      </c>
      <c r="K227" s="11">
        <v>131</v>
      </c>
      <c r="L227" s="11">
        <v>255</v>
      </c>
      <c r="M227" s="12">
        <v>255</v>
      </c>
    </row>
    <row r="228" spans="1:13" x14ac:dyDescent="0.25">
      <c r="A228">
        <v>226</v>
      </c>
      <c r="B228" s="38"/>
      <c r="C228" s="42"/>
      <c r="D228" s="11">
        <v>255</v>
      </c>
      <c r="E228" s="11">
        <v>254</v>
      </c>
      <c r="F228" s="11">
        <v>128</v>
      </c>
      <c r="G228" s="11">
        <v>128</v>
      </c>
      <c r="H228" s="11">
        <v>128</v>
      </c>
      <c r="I228" s="11">
        <v>128</v>
      </c>
      <c r="J228" s="11">
        <v>128</v>
      </c>
      <c r="K228" s="11">
        <v>128</v>
      </c>
      <c r="L228" s="11">
        <v>128</v>
      </c>
      <c r="M228" s="12">
        <v>128</v>
      </c>
    </row>
    <row r="229" spans="1:13" x14ac:dyDescent="0.25">
      <c r="A229">
        <v>227</v>
      </c>
      <c r="B229" s="38"/>
      <c r="C229" s="42"/>
      <c r="D229" s="11">
        <v>0</v>
      </c>
      <c r="E229" s="11">
        <v>128</v>
      </c>
      <c r="F229" s="11">
        <v>128</v>
      </c>
      <c r="G229" s="11">
        <v>128</v>
      </c>
      <c r="H229" s="11">
        <v>128</v>
      </c>
      <c r="I229" s="11">
        <v>128</v>
      </c>
      <c r="J229" s="11">
        <v>128</v>
      </c>
      <c r="K229" s="11">
        <v>128</v>
      </c>
      <c r="L229" s="11">
        <v>0</v>
      </c>
      <c r="M229" s="12">
        <v>0</v>
      </c>
    </row>
    <row r="230" spans="1:13" x14ac:dyDescent="0.25">
      <c r="A230">
        <v>228</v>
      </c>
      <c r="B230" s="38"/>
      <c r="C230" s="42"/>
      <c r="D230" s="11">
        <v>128</v>
      </c>
      <c r="E230" s="11">
        <v>128</v>
      </c>
      <c r="F230" s="11">
        <v>128</v>
      </c>
      <c r="G230" s="11">
        <v>128</v>
      </c>
      <c r="H230" s="11">
        <v>128</v>
      </c>
      <c r="I230" s="11">
        <v>128</v>
      </c>
      <c r="J230" s="11">
        <v>128</v>
      </c>
      <c r="K230" s="11">
        <v>128</v>
      </c>
      <c r="L230" s="11">
        <v>254</v>
      </c>
      <c r="M230" s="12">
        <v>255</v>
      </c>
    </row>
    <row r="231" spans="1:13" x14ac:dyDescent="0.25">
      <c r="A231">
        <v>229</v>
      </c>
      <c r="B231" s="38"/>
      <c r="C231" s="42"/>
      <c r="D231" s="11">
        <v>255</v>
      </c>
      <c r="E231" s="11">
        <v>255</v>
      </c>
      <c r="F231" s="11">
        <v>131</v>
      </c>
      <c r="G231" s="11">
        <v>131</v>
      </c>
      <c r="H231" s="11">
        <v>131</v>
      </c>
      <c r="I231" s="11">
        <v>131</v>
      </c>
      <c r="J231" s="11">
        <v>131</v>
      </c>
      <c r="K231" s="11">
        <v>131</v>
      </c>
      <c r="L231" s="11">
        <v>129</v>
      </c>
      <c r="M231" s="12">
        <v>0</v>
      </c>
    </row>
    <row r="232" spans="1:13" x14ac:dyDescent="0.25">
      <c r="A232">
        <v>230</v>
      </c>
      <c r="B232" s="38"/>
      <c r="C232" s="42"/>
      <c r="D232" s="11">
        <v>255</v>
      </c>
      <c r="E232" s="11">
        <v>255</v>
      </c>
      <c r="F232" s="11">
        <v>131</v>
      </c>
      <c r="G232" s="11">
        <v>131</v>
      </c>
      <c r="H232" s="11">
        <v>131</v>
      </c>
      <c r="I232" s="11">
        <v>131</v>
      </c>
      <c r="J232" s="11">
        <v>131</v>
      </c>
      <c r="K232" s="11">
        <v>131</v>
      </c>
      <c r="L232" s="11">
        <v>129</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Work Sheet</vt:lpstr>
      <vt:lpstr>MD_MAX Default</vt:lpstr>
      <vt:lpstr>Std Proportional</vt:lpstr>
      <vt:lpstr>Std Fixed</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cp:lastModifiedBy>
  <cp:lastPrinted>2014-02-08T22:01:07Z</cp:lastPrinted>
  <dcterms:created xsi:type="dcterms:W3CDTF">2014-02-06T06:54:50Z</dcterms:created>
  <dcterms:modified xsi:type="dcterms:W3CDTF">2015-10-03T02:14:26Z</dcterms:modified>
</cp:coreProperties>
</file>